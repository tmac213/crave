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0" yWindow="84" windowWidth="22980" windowHeight="9732" tabRatio="1000" activeTab="2"/>
  </bookViews>
  <sheets>
    <sheet name="Restaurant" sheetId="1" r:id="rId1"/>
    <sheet name="Dishes individually" sheetId="69" r:id="rId2"/>
    <sheet name="origin" sheetId="71" r:id="rId3"/>
    <sheet name="types" sheetId="70" r:id="rId4"/>
    <sheet name="region" sheetId="75" r:id="rId5"/>
    <sheet name="Hunan Coventry" sheetId="2" r:id="rId6"/>
    <sheet name="Jimmy John's" sheetId="6" r:id="rId7"/>
    <sheet name="Guys Pizza Co." sheetId="7" r:id="rId8"/>
    <sheet name="Dave's" sheetId="4" r:id="rId9"/>
    <sheet name="High Tai'd" sheetId="8" r:id="rId10"/>
    <sheet name="Tree Country " sheetId="9" r:id="rId11"/>
    <sheet name="Chipotle" sheetId="10" r:id="rId12"/>
    <sheet name="Qdoba" sheetId="67" r:id="rId13"/>
    <sheet name="Rascal House" sheetId="72" r:id="rId14"/>
    <sheet name="Potbellies" sheetId="5" r:id="rId15"/>
    <sheet name="La Dolce Vita" sheetId="74" r:id="rId16"/>
    <sheet name="Mama Santas" sheetId="68" r:id="rId17"/>
    <sheet name="Trattoria Roman" sheetId="73" r:id="rId18"/>
  </sheets>
  <definedNames>
    <definedName name="ExternalData_1" localSheetId="1" hidden="1">'Dishes individually'!#REF!</definedName>
    <definedName name="ExternalData_1" localSheetId="5" hidden="1">'Hunan Coventry'!#REF!</definedName>
    <definedName name="ExternalData_1" localSheetId="6" hidden="1">'Jimmy John''s'!#REF!</definedName>
    <definedName name="ExternalData_1" localSheetId="0" hidden="1">Restaurant!#REF!</definedName>
  </definedNames>
  <calcPr calcId="145621"/>
</workbook>
</file>

<file path=xl/calcChain.xml><?xml version="1.0" encoding="utf-8"?>
<calcChain xmlns="http://schemas.openxmlformats.org/spreadsheetml/2006/main">
  <c r="G7" i="72" l="1"/>
  <c r="G3" i="72"/>
  <c r="G5" i="72"/>
  <c r="F9" i="7"/>
  <c r="F7" i="7"/>
  <c r="F5" i="7"/>
</calcChain>
</file>

<file path=xl/comments1.xml><?xml version="1.0" encoding="utf-8"?>
<comments xmlns="http://schemas.openxmlformats.org/spreadsheetml/2006/main">
  <authors>
    <author>Jonathan Fische</author>
  </authors>
  <commentList>
    <comment ref="A1" authorId="0">
      <text>
        <r>
          <rPr>
            <b/>
            <sz val="9"/>
            <color indexed="81"/>
            <rFont val="Tahoma"/>
            <family val="2"/>
          </rPr>
          <t>Jonathan Fische:</t>
        </r>
        <r>
          <rPr>
            <sz val="9"/>
            <color indexed="81"/>
            <rFont val="Tahoma"/>
            <family val="2"/>
          </rPr>
          <t xml:space="preserve">
This is just the restaurant IDs, rid or resid for short, that will be made when putting in the next two columns into the database</t>
        </r>
      </text>
    </comment>
    <comment ref="B1" authorId="0">
      <text>
        <r>
          <rPr>
            <b/>
            <sz val="9"/>
            <color indexed="81"/>
            <rFont val="Tahoma"/>
            <family val="2"/>
          </rPr>
          <t>Jonathan Fische:</t>
        </r>
        <r>
          <rPr>
            <sz val="9"/>
            <color indexed="81"/>
            <rFont val="Tahoma"/>
            <family val="2"/>
          </rPr>
          <t xml:space="preserve">
name and address should be the first two to be put into the database, how you do it is you select all the cells you want into the table, go to append excel data to table in the MySQL for Excel tab, then drag the columns from the top to the correct columns at the bottom</t>
        </r>
      </text>
    </comment>
    <comment ref="F1" authorId="0">
      <text>
        <r>
          <rPr>
            <b/>
            <sz val="9"/>
            <color indexed="81"/>
            <rFont val="Tahoma"/>
            <family val="2"/>
          </rPr>
          <t>Jonathan Fische:</t>
        </r>
        <r>
          <rPr>
            <sz val="9"/>
            <color indexed="81"/>
            <rFont val="Tahoma"/>
            <family val="2"/>
          </rPr>
          <t xml:space="preserve">
these two columns are for restaurantorigin
oid is origin ID
rid is restaurant ID</t>
        </r>
      </text>
    </comment>
    <comment ref="I1" authorId="0">
      <text>
        <r>
          <rPr>
            <b/>
            <sz val="9"/>
            <color indexed="81"/>
            <rFont val="Tahoma"/>
            <family val="2"/>
          </rPr>
          <t>Jonathan Fische:</t>
        </r>
        <r>
          <rPr>
            <sz val="9"/>
            <color indexed="81"/>
            <rFont val="Tahoma"/>
            <family val="2"/>
          </rPr>
          <t xml:space="preserve">
these two go into locatedin table
regid is region ID
resid is restaurant ID</t>
        </r>
      </text>
    </comment>
  </commentList>
</comments>
</file>

<file path=xl/comments2.xml><?xml version="1.0" encoding="utf-8"?>
<comments xmlns="http://schemas.openxmlformats.org/spreadsheetml/2006/main">
  <authors>
    <author>Jonathan Fische</author>
  </authors>
  <commentList>
    <comment ref="A1" authorId="0">
      <text>
        <r>
          <rPr>
            <b/>
            <sz val="9"/>
            <color indexed="81"/>
            <rFont val="Tahoma"/>
            <family val="2"/>
          </rPr>
          <t>Jonathan Fische:</t>
        </r>
        <r>
          <rPr>
            <sz val="9"/>
            <color indexed="81"/>
            <rFont val="Tahoma"/>
            <family val="2"/>
          </rPr>
          <t xml:space="preserve">
This column goes into Dishes, and you check the box that says ignore first row</t>
        </r>
      </text>
    </comment>
    <comment ref="C1" authorId="0">
      <text>
        <r>
          <rPr>
            <b/>
            <sz val="9"/>
            <color indexed="81"/>
            <rFont val="Tahoma"/>
            <family val="2"/>
          </rPr>
          <t>Jonathan Fische:</t>
        </r>
        <r>
          <rPr>
            <sz val="9"/>
            <color indexed="81"/>
            <rFont val="Tahoma"/>
            <family val="2"/>
          </rPr>
          <t xml:space="preserve">
These are the IDs for dishes, or dID, that came from putting the dishes names into the dishes table</t>
        </r>
      </text>
    </comment>
    <comment ref="E1" authorId="0">
      <text>
        <r>
          <rPr>
            <b/>
            <sz val="9"/>
            <color indexed="81"/>
            <rFont val="Tahoma"/>
            <family val="2"/>
          </rPr>
          <t>Jonathan Fische:</t>
        </r>
        <r>
          <rPr>
            <sz val="9"/>
            <color indexed="81"/>
            <rFont val="Tahoma"/>
            <family val="2"/>
          </rPr>
          <t xml:space="preserve">
These two go into dish origin</t>
        </r>
      </text>
    </comment>
    <comment ref="H1" authorId="0">
      <text>
        <r>
          <rPr>
            <b/>
            <sz val="9"/>
            <color indexed="81"/>
            <rFont val="Tahoma"/>
            <family val="2"/>
          </rPr>
          <t>Jonathan Fische:</t>
        </r>
        <r>
          <rPr>
            <sz val="9"/>
            <color indexed="81"/>
            <rFont val="Tahoma"/>
            <family val="2"/>
          </rPr>
          <t xml:space="preserve">
these two go into dish type
tid means type ID</t>
        </r>
      </text>
    </comment>
    <comment ref="J1" authorId="0">
      <text>
        <r>
          <rPr>
            <b/>
            <sz val="9"/>
            <color indexed="81"/>
            <rFont val="Tahoma"/>
            <family val="2"/>
          </rPr>
          <t>Jonathan Fische:</t>
        </r>
        <r>
          <rPr>
            <sz val="9"/>
            <color indexed="81"/>
            <rFont val="Tahoma"/>
            <family val="2"/>
          </rPr>
          <t xml:space="preserve">
These are the IDs for dishes, or dID, that came from putting the dishes names into the dishes table</t>
        </r>
      </text>
    </comment>
    <comment ref="J2" authorId="0">
      <text>
        <r>
          <rPr>
            <b/>
            <sz val="9"/>
            <color indexed="81"/>
            <rFont val="Tahoma"/>
            <family val="2"/>
          </rPr>
          <t>Jonathan Fische:</t>
        </r>
        <r>
          <rPr>
            <sz val="9"/>
            <color indexed="81"/>
            <rFont val="Tahoma"/>
            <family val="2"/>
          </rPr>
          <t xml:space="preserve">
</t>
        </r>
      </text>
    </comment>
  </commentList>
</comments>
</file>

<file path=xl/comments3.xml><?xml version="1.0" encoding="utf-8"?>
<comments xmlns="http://schemas.openxmlformats.org/spreadsheetml/2006/main">
  <authors>
    <author>Jonathan Fische</author>
  </authors>
  <commentList>
    <comment ref="A1" authorId="0">
      <text>
        <r>
          <rPr>
            <b/>
            <sz val="9"/>
            <color indexed="81"/>
            <rFont val="Tahoma"/>
            <family val="2"/>
          </rPr>
          <t>Jonathan Fische:</t>
        </r>
        <r>
          <rPr>
            <sz val="9"/>
            <color indexed="81"/>
            <rFont val="Tahoma"/>
            <family val="2"/>
          </rPr>
          <t xml:space="preserve">
this is for the origins table. You only have to put in the A column, make sure you don’t include A1 in the table</t>
        </r>
      </text>
    </comment>
  </commentList>
</comments>
</file>

<file path=xl/comments4.xml><?xml version="1.0" encoding="utf-8"?>
<comments xmlns="http://schemas.openxmlformats.org/spreadsheetml/2006/main">
  <authors>
    <author>Jonathan Fische</author>
  </authors>
  <commentList>
    <comment ref="A1" authorId="0">
      <text>
        <r>
          <rPr>
            <b/>
            <sz val="9"/>
            <color indexed="81"/>
            <rFont val="Tahoma"/>
            <family val="2"/>
          </rPr>
          <t>Jonathan Fische:</t>
        </r>
        <r>
          <rPr>
            <sz val="9"/>
            <color indexed="81"/>
            <rFont val="Tahoma"/>
            <family val="2"/>
          </rPr>
          <t xml:space="preserve">
this is for the types table. You only have to put in the A column, make sure you don’t include A1 in the table</t>
        </r>
      </text>
    </comment>
  </commentList>
</comments>
</file>

<file path=xl/comments5.xml><?xml version="1.0" encoding="utf-8"?>
<comments xmlns="http://schemas.openxmlformats.org/spreadsheetml/2006/main">
  <authors>
    <author>Jonathan Fische</author>
  </authors>
  <commentList>
    <comment ref="A1" authorId="0">
      <text>
        <r>
          <rPr>
            <b/>
            <sz val="9"/>
            <color indexed="81"/>
            <rFont val="Tahoma"/>
            <family val="2"/>
          </rPr>
          <t>Jonathan Fische:</t>
        </r>
        <r>
          <rPr>
            <sz val="9"/>
            <color indexed="81"/>
            <rFont val="Tahoma"/>
            <family val="2"/>
          </rPr>
          <t xml:space="preserve">
this is for the region table. You only have to put in the A column, make sure you don’t include A1 in the table</t>
        </r>
      </text>
    </comment>
  </commentList>
</comments>
</file>

<file path=xl/comments6.xml><?xml version="1.0" encoding="utf-8"?>
<comments xmlns="http://schemas.openxmlformats.org/spreadsheetml/2006/main">
  <authors>
    <author>Jonathan Fische</author>
  </authors>
  <commentList>
    <comment ref="A1" authorId="0">
      <text>
        <r>
          <rPr>
            <b/>
            <sz val="9"/>
            <color indexed="81"/>
            <rFont val="Tahoma"/>
            <family val="2"/>
          </rPr>
          <t>Jonathan Fische:</t>
        </r>
        <r>
          <rPr>
            <sz val="9"/>
            <color indexed="81"/>
            <rFont val="Tahoma"/>
            <family val="2"/>
          </rPr>
          <t xml:space="preserve">
This column is only for reference of the names of each dish in the menu</t>
        </r>
      </text>
    </comment>
    <comment ref="E1" authorId="0">
      <text>
        <r>
          <rPr>
            <b/>
            <sz val="9"/>
            <color indexed="81"/>
            <rFont val="Tahoma"/>
            <family val="2"/>
          </rPr>
          <t>Jonathan Fische:</t>
        </r>
        <r>
          <rPr>
            <sz val="9"/>
            <color indexed="81"/>
            <rFont val="Tahoma"/>
            <family val="2"/>
          </rPr>
          <t xml:space="preserve">
These three to four are the columns you want to put into the serves table, depending on the restaurant, as some have descriptions that are included. </t>
        </r>
      </text>
    </comment>
  </commentList>
</comments>
</file>

<file path=xl/comments7.xml><?xml version="1.0" encoding="utf-8"?>
<comments xmlns="http://schemas.openxmlformats.org/spreadsheetml/2006/main">
  <authors>
    <author>Jonathan Fische</author>
  </authors>
  <commentList>
    <comment ref="C1" authorId="0">
      <text>
        <r>
          <rPr>
            <b/>
            <sz val="9"/>
            <color indexed="81"/>
            <rFont val="Tahoma"/>
            <family val="2"/>
          </rPr>
          <t>Jonathan Fische:</t>
        </r>
        <r>
          <rPr>
            <sz val="9"/>
            <color indexed="81"/>
            <rFont val="Tahoma"/>
            <family val="2"/>
          </rPr>
          <t xml:space="preserve">
You'll now be seeing a second column that also has dish names in it, this second column represents the ones already added, with the ones in column A being the ones that are new dishes, as some restaurants have the same food as other restaurants</t>
        </r>
      </text>
    </comment>
  </commentList>
</comments>
</file>

<file path=xl/comments8.xml><?xml version="1.0" encoding="utf-8"?>
<comments xmlns="http://schemas.openxmlformats.org/spreadsheetml/2006/main">
  <authors>
    <author>Jonathan Fische</author>
  </authors>
  <commentList>
    <comment ref="B1" authorId="0">
      <text>
        <r>
          <rPr>
            <b/>
            <sz val="9"/>
            <color indexed="81"/>
            <rFont val="Tahoma"/>
            <family val="2"/>
          </rPr>
          <t>Jonathan Fische:</t>
        </r>
        <r>
          <rPr>
            <sz val="9"/>
            <color indexed="81"/>
            <rFont val="Tahoma"/>
            <family val="2"/>
          </rPr>
          <t xml:space="preserve">
The reason why there is no dishes in the A column is to represent that there are no new dishes in this restaurant</t>
        </r>
      </text>
    </comment>
  </commentList>
</comments>
</file>

<file path=xl/sharedStrings.xml><?xml version="1.0" encoding="utf-8"?>
<sst xmlns="http://schemas.openxmlformats.org/spreadsheetml/2006/main" count="481" uniqueCount="233">
  <si>
    <t>Hunan Coventry</t>
  </si>
  <si>
    <t>Tree Country Bistro</t>
  </si>
  <si>
    <t>1803 Coventry Rd, Cleveland Heights, OH 44118</t>
  </si>
  <si>
    <t>Jimmy John's</t>
  </si>
  <si>
    <t>1827 Coventry Rd, Cleveland Heights, OH 44118</t>
  </si>
  <si>
    <t>Guys Pizza Co.</t>
  </si>
  <si>
    <t>1800 Coventry Rd, Cleveland Heights, OH 44118</t>
  </si>
  <si>
    <t>1838 Coventry Rd, Cleveland Heights, OH 44118</t>
  </si>
  <si>
    <t>Dave's Cosmic Sub</t>
  </si>
  <si>
    <t>1842 Coventry Rd, Cleveland Heights, OH 44118</t>
  </si>
  <si>
    <t>High Thai'd</t>
  </si>
  <si>
    <t>1791 Coventry Rd, Cleveland Heights, OH 44118</t>
  </si>
  <si>
    <t>name</t>
  </si>
  <si>
    <t>description</t>
  </si>
  <si>
    <t>Scallion Pancake</t>
  </si>
  <si>
    <t>Roast Beef</t>
  </si>
  <si>
    <t>Turkey Breast</t>
  </si>
  <si>
    <t>Smoked Ham Club</t>
  </si>
  <si>
    <t>Billy Club</t>
  </si>
  <si>
    <t>Tuna Salad</t>
  </si>
  <si>
    <t>Italian Night Club</t>
  </si>
  <si>
    <t>Hunter's Club</t>
  </si>
  <si>
    <t>Country Club</t>
  </si>
  <si>
    <t>Beach Club</t>
  </si>
  <si>
    <t>Gourmet Veggie Club</t>
  </si>
  <si>
    <t>Bootlegger Club</t>
  </si>
  <si>
    <t>Club Tuna</t>
  </si>
  <si>
    <t>Club Lulu</t>
  </si>
  <si>
    <t>Ultimate Porker</t>
  </si>
  <si>
    <t>The J.J. Gargantuan</t>
  </si>
  <si>
    <t>Spring Roll</t>
  </si>
  <si>
    <t>Vegetarian Roll</t>
  </si>
  <si>
    <t>Butterfly Shrimp</t>
  </si>
  <si>
    <t>Hacked Chicken</t>
  </si>
  <si>
    <t>Mussels in Spicey Garlic Sauce</t>
  </si>
  <si>
    <t>Pu Pu Platter</t>
  </si>
  <si>
    <t>Hot &amp; Sour Soup</t>
  </si>
  <si>
    <t>Seafood Delight Soup</t>
  </si>
  <si>
    <t>Chicken Vegetable Soup</t>
  </si>
  <si>
    <t>Sweet and Sour Pork</t>
  </si>
  <si>
    <t>Wonton Soup</t>
  </si>
  <si>
    <t>Moo Shu Beef</t>
  </si>
  <si>
    <t>Roast Pork with Vegetables</t>
  </si>
  <si>
    <t>Beef with Broccoli</t>
  </si>
  <si>
    <t>Mongolian Beef</t>
  </si>
  <si>
    <t>Beef with Green Peppers</t>
  </si>
  <si>
    <t>Beef with Snow Pea Pods</t>
  </si>
  <si>
    <t>Kung Pao Beef</t>
  </si>
  <si>
    <t>Hunan Beef</t>
  </si>
  <si>
    <t>Chicken with Honey Walnuts</t>
  </si>
  <si>
    <t>Chicken with Cashew Nuts</t>
  </si>
  <si>
    <t>Sweet and Sour Chicken</t>
  </si>
  <si>
    <t>Chicken with Vegetables</t>
  </si>
  <si>
    <t>Moo Shu Chicken</t>
  </si>
  <si>
    <t>Empress Chicken</t>
  </si>
  <si>
    <t>Kung Pao Chicken</t>
  </si>
  <si>
    <t>Crispy Duck</t>
  </si>
  <si>
    <t>Shrimp with Lobster Sause</t>
  </si>
  <si>
    <t>Sweet and Sour Shrimp</t>
  </si>
  <si>
    <t>Shrimp with Broccoli</t>
  </si>
  <si>
    <t>Moo Shu Shrimp</t>
  </si>
  <si>
    <t>Cashew Shrimp</t>
  </si>
  <si>
    <t>Hunan Shrimp</t>
  </si>
  <si>
    <t>Kung Pao Shrimp</t>
  </si>
  <si>
    <t>Jade Scallops</t>
  </si>
  <si>
    <t>Buddha's Delight</t>
  </si>
  <si>
    <t>Szechwan String Beans</t>
  </si>
  <si>
    <t>Eggplant in Garlic Sauce</t>
  </si>
  <si>
    <t>Bean Curd Home Style</t>
  </si>
  <si>
    <t>Moo Shu Vegetables</t>
  </si>
  <si>
    <t>Cashew Tofu</t>
  </si>
  <si>
    <t>Tofu and Portabela Mushroom &amp; Snow Pea Pods</t>
  </si>
  <si>
    <t>House Special Fried Rice</t>
  </si>
  <si>
    <t>Fried Rice</t>
  </si>
  <si>
    <t>Shrimp Fried Rice</t>
  </si>
  <si>
    <t>House Special Fried Noodles</t>
  </si>
  <si>
    <t>Fride Noodles</t>
  </si>
  <si>
    <t>Shrimp Fried Noodles</t>
  </si>
  <si>
    <t>House Special Chow Fun</t>
  </si>
  <si>
    <t>Chow Fun</t>
  </si>
  <si>
    <t>Shrimp Chow Fun</t>
  </si>
  <si>
    <t>Vegetables Fried Noodles</t>
  </si>
  <si>
    <t>Vegetables Fried Rice</t>
  </si>
  <si>
    <t>Vegetables Chow Fun</t>
  </si>
  <si>
    <t>Noodles with Sesame Paste</t>
  </si>
  <si>
    <t>Seafood in  "Bird's Nest"</t>
  </si>
  <si>
    <t>Happy Family</t>
  </si>
  <si>
    <t>Honey Lemon Chicken</t>
  </si>
  <si>
    <t>Sesame Chicken</t>
  </si>
  <si>
    <t>Triple Delight</t>
  </si>
  <si>
    <t>Orange Beef</t>
  </si>
  <si>
    <t>General Tso's Chicken</t>
  </si>
  <si>
    <t>Sesame Beef</t>
  </si>
  <si>
    <t>Paradise Beef</t>
  </si>
  <si>
    <t>Shrimp &amp; Chicken with Five Blessings</t>
  </si>
  <si>
    <t>Chipotle Mexican Grill</t>
  </si>
  <si>
    <t>11452 Euclid Ave, Cleveland, OH 44106</t>
  </si>
  <si>
    <t>Qdoba Mexican Grill</t>
  </si>
  <si>
    <t>11324 Euclid Ave, Cleveland, OH 44106</t>
  </si>
  <si>
    <t>Rascal House Pizza Café</t>
  </si>
  <si>
    <t>11316 Euclid Ave, Cleveland, OH 44106</t>
  </si>
  <si>
    <t>11425 Euclid Ave, Cleveland, OH 44106</t>
  </si>
  <si>
    <t>Potbelly Sandwich Shop</t>
  </si>
  <si>
    <t>La Dolce Viat</t>
  </si>
  <si>
    <t>12112 Mayfield Rd, Cleveland, OH 44106</t>
  </si>
  <si>
    <t>Mama Santa's</t>
  </si>
  <si>
    <t>12301 Mayfield Rd, Cleveland, OH 44106</t>
  </si>
  <si>
    <t>Trattoria on the Hill</t>
  </si>
  <si>
    <t>12207 Mayfield Rd, Cleveland, OH 44106</t>
  </si>
  <si>
    <t>Name</t>
  </si>
  <si>
    <t>addresss</t>
  </si>
  <si>
    <t>price</t>
  </si>
  <si>
    <t>rid</t>
  </si>
  <si>
    <t>did</t>
  </si>
  <si>
    <t>id</t>
  </si>
  <si>
    <t>B.L.T.</t>
  </si>
  <si>
    <t>Barbeque Spare Ribs</t>
  </si>
  <si>
    <t>Pot Stickers</t>
  </si>
  <si>
    <t>Crab Rangoons</t>
  </si>
  <si>
    <t>Ham Sandwich</t>
  </si>
  <si>
    <t>Italian</t>
  </si>
  <si>
    <t>Roast Beef Sandwich</t>
  </si>
  <si>
    <t>Italian Sandwich</t>
  </si>
  <si>
    <t>Tuna Salad Sandwich</t>
  </si>
  <si>
    <t>Vegetable Sandwich</t>
  </si>
  <si>
    <t>Chicken Sandwich</t>
  </si>
  <si>
    <t>Pizza Sandwich</t>
  </si>
  <si>
    <t>A Wreck</t>
  </si>
  <si>
    <t>Turkey Sandwich</t>
  </si>
  <si>
    <t>Meatball Sandwich</t>
  </si>
  <si>
    <t>Mushroom Melt</t>
  </si>
  <si>
    <t>Turkey breast with avocados</t>
  </si>
  <si>
    <t>Turkey breast and bacon</t>
  </si>
  <si>
    <t>Salami, ham, capicola, roast beef, and turkey</t>
  </si>
  <si>
    <t>rID</t>
  </si>
  <si>
    <t>dID</t>
  </si>
  <si>
    <t>J.J.B.L.T</t>
  </si>
  <si>
    <t>Roast beef and ham</t>
  </si>
  <si>
    <t>Turkey breast and ham</t>
  </si>
  <si>
    <t>Roast beef and turkey breast</t>
  </si>
  <si>
    <t>Ham and bacon</t>
  </si>
  <si>
    <t>Small Cheese Pizza</t>
  </si>
  <si>
    <t>Small Pepperoni Pizza</t>
  </si>
  <si>
    <t>Medium Cheese Pizza</t>
  </si>
  <si>
    <t>Medium Pepperoni Pizza</t>
  </si>
  <si>
    <t>Large Cheese Pizza</t>
  </si>
  <si>
    <t>Large Pepperoni Pizza</t>
  </si>
  <si>
    <t>Extra Large Cheese Pizza</t>
  </si>
  <si>
    <t>Extra Large Pepperoni Pizza</t>
  </si>
  <si>
    <t>10in</t>
  </si>
  <si>
    <t>12in</t>
  </si>
  <si>
    <t>14in</t>
  </si>
  <si>
    <t xml:space="preserve">20in, Big Guy  </t>
  </si>
  <si>
    <t>Chicken Wings</t>
  </si>
  <si>
    <t>6pc</t>
  </si>
  <si>
    <t xml:space="preserve">name </t>
  </si>
  <si>
    <t>Dave's Best Meatball Ever</t>
  </si>
  <si>
    <t>Dave's Classic Reuben</t>
  </si>
  <si>
    <t>Corned Beef, sauerkraut, swiss cheese, 1000 island dressing</t>
  </si>
  <si>
    <t>Dave's Veg-Out</t>
  </si>
  <si>
    <t>The Tuna Dave</t>
  </si>
  <si>
    <t>Dave's All American</t>
  </si>
  <si>
    <t>Dave's Pizza Sub</t>
  </si>
  <si>
    <t>Dave's Tasty Bacon</t>
  </si>
  <si>
    <t>The Turkey Dave</t>
  </si>
  <si>
    <t>The Incredible Dave's</t>
  </si>
  <si>
    <t>Pad Thai</t>
  </si>
  <si>
    <t>Crazy Noodle</t>
  </si>
  <si>
    <t>Pad See You</t>
  </si>
  <si>
    <t>Seafood Delight</t>
  </si>
  <si>
    <t>Pad See Ew</t>
  </si>
  <si>
    <t>Avocado Curry</t>
  </si>
  <si>
    <t>Mango Curry</t>
  </si>
  <si>
    <t>Beef with broccoli</t>
  </si>
  <si>
    <t>Chicken Cashew Nuts</t>
  </si>
  <si>
    <t>Bi BimBab</t>
  </si>
  <si>
    <t>Okdol Bi BimBab</t>
  </si>
  <si>
    <t>Vegetable Tempura</t>
  </si>
  <si>
    <t>Shrimp Tempura</t>
  </si>
  <si>
    <t>Chicken Spring Roll</t>
  </si>
  <si>
    <t>Vegetable Spring Roll</t>
  </si>
  <si>
    <t>House Fried Rice</t>
  </si>
  <si>
    <t>origin</t>
  </si>
  <si>
    <t>types</t>
  </si>
  <si>
    <t>Asian</t>
  </si>
  <si>
    <t>American</t>
  </si>
  <si>
    <t>Tex-Mex</t>
  </si>
  <si>
    <t>Chicken Burrito</t>
  </si>
  <si>
    <t>Steak Burrito</t>
  </si>
  <si>
    <t>Shredded Chicken Burrito</t>
  </si>
  <si>
    <t>Shredded Steak Burrito</t>
  </si>
  <si>
    <t>Pulled Pork Burrito</t>
  </si>
  <si>
    <t>20in, BellyBuster</t>
  </si>
  <si>
    <t>Grilled Chicken &amp; Cheddar</t>
  </si>
  <si>
    <t>Smoked Ham</t>
  </si>
  <si>
    <t>Meatball</t>
  </si>
  <si>
    <t>Salami, roast beef, turkey, &amp; ham</t>
  </si>
  <si>
    <t>Mushrooms with cheeses</t>
  </si>
  <si>
    <t xml:space="preserve">names </t>
  </si>
  <si>
    <t>names</t>
  </si>
  <si>
    <t>Chicken Parmesan</t>
  </si>
  <si>
    <t>Veal Milanese</t>
  </si>
  <si>
    <t>Small T-Bone</t>
  </si>
  <si>
    <t>Large T-Bone</t>
  </si>
  <si>
    <t>Fettuccine</t>
  </si>
  <si>
    <t>Fettuccine Fellini</t>
  </si>
  <si>
    <t>Gnocchi</t>
  </si>
  <si>
    <t>Gnocchi Dolce Vita</t>
  </si>
  <si>
    <t>Chicken Parmigiano</t>
  </si>
  <si>
    <t>Gnocchi Al Burro</t>
  </si>
  <si>
    <t>Gnocchi House Special</t>
  </si>
  <si>
    <t>Fettuccini Alfredo</t>
  </si>
  <si>
    <t>Lasagna</t>
  </si>
  <si>
    <t>Eggplant Parmigiano</t>
  </si>
  <si>
    <t>Chicken Marsala</t>
  </si>
  <si>
    <t>Veal Marsala</t>
  </si>
  <si>
    <t>Veal Parmigiano</t>
  </si>
  <si>
    <t>Rid</t>
  </si>
  <si>
    <t>oid</t>
  </si>
  <si>
    <t>resid</t>
  </si>
  <si>
    <t>regid</t>
  </si>
  <si>
    <t>region</t>
  </si>
  <si>
    <t>Coventry</t>
  </si>
  <si>
    <t>North Side</t>
  </si>
  <si>
    <t>Little Italy</t>
  </si>
  <si>
    <t>Appetizers</t>
  </si>
  <si>
    <t>Meat &amp; Seafood</t>
  </si>
  <si>
    <t>Vegetables</t>
  </si>
  <si>
    <t>Noodles &amp; Rice</t>
  </si>
  <si>
    <t>Sandwiches</t>
  </si>
  <si>
    <t>Pizza</t>
  </si>
  <si>
    <t>Burrito</t>
  </si>
  <si>
    <t>tid</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</si>
</sst>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Font="1" applyFill="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ables/table1.xml><?xml version="1.0" encoding="utf-8"?>
<table xmlns="http://schemas.openxmlformats.org/spreadsheetml/2006/main" id="15" name="Table116" displayName="Table116" ref="A2:A125" headerRowCount="0" totalsRowShown="0">
  <tableColumns count="1">
    <tableColumn id="2" name="name"/>
  </tableColumns>
  <tableStyleInfo showFirstColumn="0" showLastColumn="0" showRowStripes="1" showColumnStripes="0"/>
</table>
</file>

<file path=xl/tables/table2.xml><?xml version="1.0" encoding="utf-8"?>
<table xmlns="http://schemas.openxmlformats.org/spreadsheetml/2006/main" id="1" name="Table1" displayName="Table1" ref="A2:A72" headerRowCount="0" totalsRowShown="0">
  <tableColumns count="1">
    <tableColumn id="2" name="nam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2.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14"/>
  <sheetViews>
    <sheetView zoomScale="145" zoomScaleNormal="145" workbookViewId="0">
      <selection activeCell="I1" sqref="I1"/>
    </sheetView>
  </sheetViews>
  <sheetFormatPr defaultRowHeight="14.4" x14ac:dyDescent="0.3"/>
  <cols>
    <col min="2" max="2" width="5" customWidth="1"/>
  </cols>
  <sheetData>
    <row r="1" spans="1:10" x14ac:dyDescent="0.3">
      <c r="B1" t="s">
        <v>12</v>
      </c>
      <c r="C1" t="s">
        <v>110</v>
      </c>
      <c r="F1" t="s">
        <v>217</v>
      </c>
      <c r="G1" t="s">
        <v>218</v>
      </c>
      <c r="I1" t="s">
        <v>219</v>
      </c>
      <c r="J1" t="s">
        <v>220</v>
      </c>
    </row>
    <row r="2" spans="1:10" x14ac:dyDescent="0.3">
      <c r="A2">
        <v>1</v>
      </c>
      <c r="B2" t="s">
        <v>0</v>
      </c>
      <c r="C2" t="s">
        <v>6</v>
      </c>
      <c r="F2">
        <v>1</v>
      </c>
      <c r="G2">
        <v>1</v>
      </c>
      <c r="I2">
        <v>1</v>
      </c>
      <c r="J2">
        <v>1</v>
      </c>
    </row>
    <row r="3" spans="1:10" x14ac:dyDescent="0.3">
      <c r="A3">
        <v>2</v>
      </c>
      <c r="B3" t="s">
        <v>3</v>
      </c>
      <c r="C3" t="s">
        <v>4</v>
      </c>
      <c r="F3">
        <v>2</v>
      </c>
      <c r="G3">
        <v>3</v>
      </c>
      <c r="I3">
        <v>2</v>
      </c>
      <c r="J3">
        <v>1</v>
      </c>
    </row>
    <row r="4" spans="1:10" x14ac:dyDescent="0.3">
      <c r="A4">
        <v>3</v>
      </c>
      <c r="B4" t="s">
        <v>5</v>
      </c>
      <c r="C4" t="s">
        <v>7</v>
      </c>
      <c r="F4">
        <v>3</v>
      </c>
      <c r="G4">
        <v>3</v>
      </c>
      <c r="I4">
        <v>3</v>
      </c>
      <c r="J4">
        <v>1</v>
      </c>
    </row>
    <row r="5" spans="1:10" x14ac:dyDescent="0.3">
      <c r="A5">
        <v>4</v>
      </c>
      <c r="B5" t="s">
        <v>8</v>
      </c>
      <c r="C5" t="s">
        <v>9</v>
      </c>
      <c r="F5">
        <v>4</v>
      </c>
      <c r="G5">
        <v>3</v>
      </c>
      <c r="I5">
        <v>4</v>
      </c>
      <c r="J5">
        <v>1</v>
      </c>
    </row>
    <row r="6" spans="1:10" x14ac:dyDescent="0.3">
      <c r="A6">
        <v>5</v>
      </c>
      <c r="B6" t="s">
        <v>10</v>
      </c>
      <c r="C6" t="s">
        <v>11</v>
      </c>
      <c r="F6">
        <v>5</v>
      </c>
      <c r="G6">
        <v>1</v>
      </c>
      <c r="I6">
        <v>5</v>
      </c>
      <c r="J6">
        <v>1</v>
      </c>
    </row>
    <row r="7" spans="1:10" x14ac:dyDescent="0.3">
      <c r="A7">
        <v>6</v>
      </c>
      <c r="B7" t="s">
        <v>1</v>
      </c>
      <c r="C7" t="s">
        <v>2</v>
      </c>
      <c r="F7">
        <v>6</v>
      </c>
      <c r="G7">
        <v>1</v>
      </c>
      <c r="I7">
        <v>6</v>
      </c>
      <c r="J7">
        <v>1</v>
      </c>
    </row>
    <row r="8" spans="1:10" x14ac:dyDescent="0.3">
      <c r="A8">
        <v>7</v>
      </c>
      <c r="B8" t="s">
        <v>95</v>
      </c>
      <c r="C8" t="s">
        <v>96</v>
      </c>
      <c r="F8">
        <v>7</v>
      </c>
      <c r="G8">
        <v>4</v>
      </c>
      <c r="I8">
        <v>7</v>
      </c>
      <c r="J8">
        <v>2</v>
      </c>
    </row>
    <row r="9" spans="1:10" x14ac:dyDescent="0.3">
      <c r="A9">
        <v>8</v>
      </c>
      <c r="B9" t="s">
        <v>97</v>
      </c>
      <c r="C9" t="s">
        <v>98</v>
      </c>
      <c r="F9">
        <v>8</v>
      </c>
      <c r="G9">
        <v>4</v>
      </c>
      <c r="I9">
        <v>8</v>
      </c>
      <c r="J9">
        <v>2</v>
      </c>
    </row>
    <row r="10" spans="1:10" x14ac:dyDescent="0.3">
      <c r="A10">
        <v>9</v>
      </c>
      <c r="B10" t="s">
        <v>99</v>
      </c>
      <c r="C10" t="s">
        <v>100</v>
      </c>
      <c r="F10">
        <v>9</v>
      </c>
      <c r="G10">
        <v>3</v>
      </c>
      <c r="I10">
        <v>9</v>
      </c>
      <c r="J10">
        <v>2</v>
      </c>
    </row>
    <row r="11" spans="1:10" x14ac:dyDescent="0.3">
      <c r="A11">
        <v>10</v>
      </c>
      <c r="B11" t="s">
        <v>102</v>
      </c>
      <c r="C11" t="s">
        <v>101</v>
      </c>
      <c r="F11">
        <v>10</v>
      </c>
      <c r="G11">
        <v>3</v>
      </c>
      <c r="I11">
        <v>10</v>
      </c>
      <c r="J11">
        <v>2</v>
      </c>
    </row>
    <row r="12" spans="1:10" x14ac:dyDescent="0.3">
      <c r="A12">
        <v>11</v>
      </c>
      <c r="B12" t="s">
        <v>103</v>
      </c>
      <c r="C12" t="s">
        <v>104</v>
      </c>
      <c r="F12">
        <v>11</v>
      </c>
      <c r="G12">
        <v>2</v>
      </c>
      <c r="I12">
        <v>11</v>
      </c>
      <c r="J12">
        <v>3</v>
      </c>
    </row>
    <row r="13" spans="1:10" x14ac:dyDescent="0.3">
      <c r="A13">
        <v>12</v>
      </c>
      <c r="B13" t="s">
        <v>105</v>
      </c>
      <c r="C13" t="s">
        <v>106</v>
      </c>
      <c r="F13">
        <v>12</v>
      </c>
      <c r="G13">
        <v>2</v>
      </c>
      <c r="I13">
        <v>12</v>
      </c>
      <c r="J13">
        <v>3</v>
      </c>
    </row>
    <row r="14" spans="1:10" x14ac:dyDescent="0.3">
      <c r="A14">
        <v>13</v>
      </c>
      <c r="B14" t="s">
        <v>107</v>
      </c>
      <c r="C14" t="s">
        <v>108</v>
      </c>
      <c r="F14">
        <v>13</v>
      </c>
      <c r="G14">
        <v>2</v>
      </c>
      <c r="I14">
        <v>13</v>
      </c>
      <c r="J14">
        <v>3</v>
      </c>
    </row>
  </sheetData>
  <pageMargins left="0.7" right="0.7" top="0.75" bottom="0.75" header="0.3" footer="0.3"/>
  <pageSetup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125"/>
  <sheetViews>
    <sheetView workbookViewId="0">
      <selection activeCell="D16" sqref="D16"/>
    </sheetView>
  </sheetViews>
  <sheetFormatPr defaultRowHeight="14.4" x14ac:dyDescent="0.3"/>
  <sheetData>
    <row r="1" spans="1:10" x14ac:dyDescent="0.3">
      <c r="A1" t="s">
        <v>12</v>
      </c>
      <c r="C1" t="s">
        <v>113</v>
      </c>
      <c r="E1" t="s">
        <v>218</v>
      </c>
      <c r="F1" t="s">
        <v>113</v>
      </c>
      <c r="H1" t="s">
        <v>232</v>
      </c>
      <c r="I1" t="s">
        <v>113</v>
      </c>
    </row>
    <row r="2" spans="1:10" x14ac:dyDescent="0.3">
      <c r="A2" t="s">
        <v>30</v>
      </c>
      <c r="C2" s="1">
        <v>1</v>
      </c>
      <c r="E2">
        <v>1</v>
      </c>
      <c r="F2" s="1">
        <v>1</v>
      </c>
      <c r="H2">
        <v>1</v>
      </c>
      <c r="I2" s="1">
        <v>1</v>
      </c>
      <c r="J2" s="1">
        <v>1</v>
      </c>
    </row>
    <row r="3" spans="1:10" x14ac:dyDescent="0.3">
      <c r="A3" t="s">
        <v>31</v>
      </c>
      <c r="C3" s="1">
        <v>2</v>
      </c>
      <c r="E3">
        <v>1</v>
      </c>
      <c r="F3" s="1">
        <v>2</v>
      </c>
      <c r="H3">
        <v>1</v>
      </c>
      <c r="I3" s="1">
        <v>2</v>
      </c>
      <c r="J3" s="1">
        <v>2</v>
      </c>
    </row>
    <row r="4" spans="1:10" x14ac:dyDescent="0.3">
      <c r="A4" t="s">
        <v>116</v>
      </c>
      <c r="C4" s="1">
        <v>3</v>
      </c>
      <c r="E4">
        <v>3</v>
      </c>
      <c r="F4" s="1">
        <v>3</v>
      </c>
      <c r="H4">
        <v>1</v>
      </c>
      <c r="I4" s="1">
        <v>3</v>
      </c>
      <c r="J4" s="1">
        <v>3</v>
      </c>
    </row>
    <row r="5" spans="1:10" x14ac:dyDescent="0.3">
      <c r="A5" t="s">
        <v>117</v>
      </c>
      <c r="C5" s="1">
        <v>4</v>
      </c>
      <c r="E5">
        <v>1</v>
      </c>
      <c r="F5" s="1">
        <v>4</v>
      </c>
      <c r="H5">
        <v>1</v>
      </c>
      <c r="I5" s="1">
        <v>4</v>
      </c>
      <c r="J5" s="1">
        <v>4</v>
      </c>
    </row>
    <row r="6" spans="1:10" x14ac:dyDescent="0.3">
      <c r="A6" t="s">
        <v>32</v>
      </c>
      <c r="C6" s="1">
        <v>5</v>
      </c>
      <c r="E6">
        <v>1</v>
      </c>
      <c r="F6" s="1">
        <v>5</v>
      </c>
      <c r="H6">
        <v>1</v>
      </c>
      <c r="I6" s="1">
        <v>5</v>
      </c>
      <c r="J6" s="1">
        <v>5</v>
      </c>
    </row>
    <row r="7" spans="1:10" x14ac:dyDescent="0.3">
      <c r="A7" t="s">
        <v>14</v>
      </c>
      <c r="C7" s="1">
        <v>6</v>
      </c>
      <c r="E7">
        <v>1</v>
      </c>
      <c r="F7" s="1">
        <v>6</v>
      </c>
      <c r="H7">
        <v>1</v>
      </c>
      <c r="I7" s="1">
        <v>6</v>
      </c>
      <c r="J7" s="1">
        <v>6</v>
      </c>
    </row>
    <row r="8" spans="1:10" x14ac:dyDescent="0.3">
      <c r="A8" t="s">
        <v>118</v>
      </c>
      <c r="C8" s="1">
        <v>7</v>
      </c>
      <c r="E8">
        <v>1</v>
      </c>
      <c r="F8" s="1">
        <v>7</v>
      </c>
      <c r="H8">
        <v>1</v>
      </c>
      <c r="I8" s="1">
        <v>7</v>
      </c>
      <c r="J8" s="1">
        <v>7</v>
      </c>
    </row>
    <row r="9" spans="1:10" x14ac:dyDescent="0.3">
      <c r="A9" t="s">
        <v>33</v>
      </c>
      <c r="C9" s="1">
        <v>8</v>
      </c>
      <c r="E9">
        <v>1</v>
      </c>
      <c r="F9" s="1">
        <v>8</v>
      </c>
      <c r="H9">
        <v>1</v>
      </c>
      <c r="I9" s="1">
        <v>8</v>
      </c>
      <c r="J9" s="1">
        <v>8</v>
      </c>
    </row>
    <row r="10" spans="1:10" x14ac:dyDescent="0.3">
      <c r="A10" t="s">
        <v>34</v>
      </c>
      <c r="C10" s="1">
        <v>9</v>
      </c>
      <c r="E10">
        <v>1</v>
      </c>
      <c r="F10" s="1">
        <v>9</v>
      </c>
      <c r="H10">
        <v>1</v>
      </c>
      <c r="I10" s="1">
        <v>9</v>
      </c>
      <c r="J10" s="1">
        <v>9</v>
      </c>
    </row>
    <row r="11" spans="1:10" x14ac:dyDescent="0.3">
      <c r="A11" t="s">
        <v>35</v>
      </c>
      <c r="C11" s="1">
        <v>10</v>
      </c>
      <c r="E11">
        <v>1</v>
      </c>
      <c r="F11" s="1">
        <v>10</v>
      </c>
      <c r="H11">
        <v>1</v>
      </c>
      <c r="I11" s="1">
        <v>10</v>
      </c>
      <c r="J11" s="1">
        <v>10</v>
      </c>
    </row>
    <row r="12" spans="1:10" x14ac:dyDescent="0.3">
      <c r="A12" t="s">
        <v>36</v>
      </c>
      <c r="C12" s="1">
        <v>11</v>
      </c>
      <c r="E12">
        <v>1</v>
      </c>
      <c r="F12" s="1">
        <v>11</v>
      </c>
      <c r="H12">
        <v>1</v>
      </c>
      <c r="I12" s="1">
        <v>11</v>
      </c>
      <c r="J12" s="1">
        <v>11</v>
      </c>
    </row>
    <row r="13" spans="1:10" x14ac:dyDescent="0.3">
      <c r="A13" t="s">
        <v>40</v>
      </c>
      <c r="C13" s="1">
        <v>12</v>
      </c>
      <c r="E13">
        <v>1</v>
      </c>
      <c r="F13" s="1">
        <v>12</v>
      </c>
      <c r="H13">
        <v>1</v>
      </c>
      <c r="I13" s="1">
        <v>12</v>
      </c>
      <c r="J13" s="1">
        <v>12</v>
      </c>
    </row>
    <row r="14" spans="1:10" x14ac:dyDescent="0.3">
      <c r="A14" t="s">
        <v>37</v>
      </c>
      <c r="C14" s="1">
        <v>13</v>
      </c>
      <c r="E14">
        <v>1</v>
      </c>
      <c r="F14" s="1">
        <v>13</v>
      </c>
      <c r="H14">
        <v>1</v>
      </c>
      <c r="I14" s="1">
        <v>13</v>
      </c>
      <c r="J14" s="1">
        <v>13</v>
      </c>
    </row>
    <row r="15" spans="1:10" x14ac:dyDescent="0.3">
      <c r="A15" t="s">
        <v>38</v>
      </c>
      <c r="C15" s="1">
        <v>14</v>
      </c>
      <c r="E15">
        <v>1</v>
      </c>
      <c r="F15" s="1">
        <v>14</v>
      </c>
      <c r="H15">
        <v>1</v>
      </c>
      <c r="I15" s="1">
        <v>14</v>
      </c>
      <c r="J15" s="1">
        <v>14</v>
      </c>
    </row>
    <row r="16" spans="1:10" x14ac:dyDescent="0.3">
      <c r="A16" t="s">
        <v>39</v>
      </c>
      <c r="C16" s="1">
        <v>15</v>
      </c>
      <c r="E16">
        <v>1</v>
      </c>
      <c r="F16" s="1">
        <v>15</v>
      </c>
      <c r="H16">
        <v>2</v>
      </c>
      <c r="I16" s="1">
        <v>15</v>
      </c>
      <c r="J16" s="1">
        <v>15</v>
      </c>
    </row>
    <row r="17" spans="1:10" x14ac:dyDescent="0.3">
      <c r="A17" t="s">
        <v>42</v>
      </c>
      <c r="C17" s="1">
        <v>16</v>
      </c>
      <c r="E17">
        <v>1</v>
      </c>
      <c r="F17" s="1">
        <v>16</v>
      </c>
      <c r="H17">
        <v>2</v>
      </c>
      <c r="I17" s="1">
        <v>16</v>
      </c>
      <c r="J17" s="1">
        <v>16</v>
      </c>
    </row>
    <row r="18" spans="1:10" x14ac:dyDescent="0.3">
      <c r="A18" t="s">
        <v>41</v>
      </c>
      <c r="C18" s="1">
        <v>17</v>
      </c>
      <c r="E18">
        <v>1</v>
      </c>
      <c r="F18" s="1">
        <v>17</v>
      </c>
      <c r="H18">
        <v>2</v>
      </c>
      <c r="I18" s="1">
        <v>17</v>
      </c>
      <c r="J18" s="1">
        <v>17</v>
      </c>
    </row>
    <row r="19" spans="1:10" x14ac:dyDescent="0.3">
      <c r="A19" t="s">
        <v>43</v>
      </c>
      <c r="C19" s="1">
        <v>18</v>
      </c>
      <c r="E19">
        <v>1</v>
      </c>
      <c r="F19" s="1">
        <v>18</v>
      </c>
      <c r="H19">
        <v>2</v>
      </c>
      <c r="I19" s="1">
        <v>18</v>
      </c>
      <c r="J19" s="1">
        <v>18</v>
      </c>
    </row>
    <row r="20" spans="1:10" x14ac:dyDescent="0.3">
      <c r="A20" t="s">
        <v>44</v>
      </c>
      <c r="C20" s="1">
        <v>19</v>
      </c>
      <c r="E20">
        <v>1</v>
      </c>
      <c r="F20" s="1">
        <v>19</v>
      </c>
      <c r="H20">
        <v>2</v>
      </c>
      <c r="I20" s="1">
        <v>19</v>
      </c>
      <c r="J20" s="1">
        <v>19</v>
      </c>
    </row>
    <row r="21" spans="1:10" x14ac:dyDescent="0.3">
      <c r="A21" t="s">
        <v>45</v>
      </c>
      <c r="C21" s="1">
        <v>20</v>
      </c>
      <c r="E21">
        <v>1</v>
      </c>
      <c r="F21" s="1">
        <v>20</v>
      </c>
      <c r="H21">
        <v>2</v>
      </c>
      <c r="I21" s="1">
        <v>20</v>
      </c>
      <c r="J21" s="1">
        <v>20</v>
      </c>
    </row>
    <row r="22" spans="1:10" x14ac:dyDescent="0.3">
      <c r="A22" t="s">
        <v>46</v>
      </c>
      <c r="C22" s="1">
        <v>21</v>
      </c>
      <c r="E22">
        <v>1</v>
      </c>
      <c r="F22" s="1">
        <v>21</v>
      </c>
      <c r="H22">
        <v>2</v>
      </c>
      <c r="I22" s="1">
        <v>21</v>
      </c>
      <c r="J22" s="1">
        <v>21</v>
      </c>
    </row>
    <row r="23" spans="1:10" x14ac:dyDescent="0.3">
      <c r="A23" t="s">
        <v>47</v>
      </c>
      <c r="C23" s="1">
        <v>22</v>
      </c>
      <c r="E23">
        <v>1</v>
      </c>
      <c r="F23" s="1">
        <v>22</v>
      </c>
      <c r="H23">
        <v>2</v>
      </c>
      <c r="I23" s="1">
        <v>22</v>
      </c>
      <c r="J23" s="1">
        <v>22</v>
      </c>
    </row>
    <row r="24" spans="1:10" x14ac:dyDescent="0.3">
      <c r="A24" t="s">
        <v>48</v>
      </c>
      <c r="C24" s="1">
        <v>23</v>
      </c>
      <c r="E24">
        <v>1</v>
      </c>
      <c r="F24" s="1">
        <v>23</v>
      </c>
      <c r="H24">
        <v>2</v>
      </c>
      <c r="I24" s="1">
        <v>23</v>
      </c>
      <c r="J24" s="1">
        <v>23</v>
      </c>
    </row>
    <row r="25" spans="1:10" x14ac:dyDescent="0.3">
      <c r="A25" t="s">
        <v>49</v>
      </c>
      <c r="C25" s="1">
        <v>24</v>
      </c>
      <c r="E25">
        <v>1</v>
      </c>
      <c r="F25" s="1">
        <v>24</v>
      </c>
      <c r="H25">
        <v>2</v>
      </c>
      <c r="I25" s="1">
        <v>24</v>
      </c>
      <c r="J25" s="1">
        <v>24</v>
      </c>
    </row>
    <row r="26" spans="1:10" x14ac:dyDescent="0.3">
      <c r="A26" t="s">
        <v>50</v>
      </c>
      <c r="C26" s="1">
        <v>25</v>
      </c>
      <c r="E26">
        <v>1</v>
      </c>
      <c r="F26" s="1">
        <v>25</v>
      </c>
      <c r="H26">
        <v>2</v>
      </c>
      <c r="I26" s="1">
        <v>25</v>
      </c>
      <c r="J26" s="1">
        <v>25</v>
      </c>
    </row>
    <row r="27" spans="1:10" x14ac:dyDescent="0.3">
      <c r="A27" t="s">
        <v>51</v>
      </c>
      <c r="C27" s="1">
        <v>26</v>
      </c>
      <c r="E27">
        <v>1</v>
      </c>
      <c r="F27" s="1">
        <v>26</v>
      </c>
      <c r="H27">
        <v>2</v>
      </c>
      <c r="I27" s="1">
        <v>26</v>
      </c>
      <c r="J27" s="1">
        <v>26</v>
      </c>
    </row>
    <row r="28" spans="1:10" x14ac:dyDescent="0.3">
      <c r="A28" t="s">
        <v>52</v>
      </c>
      <c r="C28" s="1">
        <v>27</v>
      </c>
      <c r="E28">
        <v>1</v>
      </c>
      <c r="F28" s="1">
        <v>27</v>
      </c>
      <c r="H28">
        <v>2</v>
      </c>
      <c r="I28" s="1">
        <v>27</v>
      </c>
      <c r="J28" s="1">
        <v>27</v>
      </c>
    </row>
    <row r="29" spans="1:10" x14ac:dyDescent="0.3">
      <c r="A29" t="s">
        <v>53</v>
      </c>
      <c r="C29" s="1">
        <v>28</v>
      </c>
      <c r="E29">
        <v>1</v>
      </c>
      <c r="F29" s="1">
        <v>28</v>
      </c>
      <c r="H29">
        <v>2</v>
      </c>
      <c r="I29" s="1">
        <v>28</v>
      </c>
      <c r="J29" s="1">
        <v>28</v>
      </c>
    </row>
    <row r="30" spans="1:10" x14ac:dyDescent="0.3">
      <c r="A30" t="s">
        <v>54</v>
      </c>
      <c r="C30" s="1">
        <v>29</v>
      </c>
      <c r="E30">
        <v>1</v>
      </c>
      <c r="F30" s="1">
        <v>29</v>
      </c>
      <c r="H30">
        <v>2</v>
      </c>
      <c r="I30" s="1">
        <v>29</v>
      </c>
      <c r="J30" s="1">
        <v>29</v>
      </c>
    </row>
    <row r="31" spans="1:10" x14ac:dyDescent="0.3">
      <c r="A31" t="s">
        <v>55</v>
      </c>
      <c r="C31" s="1">
        <v>30</v>
      </c>
      <c r="E31">
        <v>1</v>
      </c>
      <c r="F31" s="1">
        <v>30</v>
      </c>
      <c r="H31">
        <v>2</v>
      </c>
      <c r="I31" s="1">
        <v>30</v>
      </c>
      <c r="J31" s="1">
        <v>30</v>
      </c>
    </row>
    <row r="32" spans="1:10" x14ac:dyDescent="0.3">
      <c r="A32" t="s">
        <v>56</v>
      </c>
      <c r="C32" s="1">
        <v>31</v>
      </c>
      <c r="E32">
        <v>1</v>
      </c>
      <c r="F32" s="1">
        <v>31</v>
      </c>
      <c r="H32">
        <v>2</v>
      </c>
      <c r="I32" s="1">
        <v>31</v>
      </c>
      <c r="J32" s="1">
        <v>31</v>
      </c>
    </row>
    <row r="33" spans="1:10" x14ac:dyDescent="0.3">
      <c r="A33" t="s">
        <v>57</v>
      </c>
      <c r="C33" s="1">
        <v>32</v>
      </c>
      <c r="E33">
        <v>1</v>
      </c>
      <c r="F33" s="1">
        <v>32</v>
      </c>
      <c r="H33">
        <v>2</v>
      </c>
      <c r="I33" s="1">
        <v>32</v>
      </c>
      <c r="J33" s="1">
        <v>32</v>
      </c>
    </row>
    <row r="34" spans="1:10" x14ac:dyDescent="0.3">
      <c r="A34" t="s">
        <v>58</v>
      </c>
      <c r="C34" s="1">
        <v>33</v>
      </c>
      <c r="E34">
        <v>1</v>
      </c>
      <c r="F34" s="1">
        <v>33</v>
      </c>
      <c r="H34">
        <v>2</v>
      </c>
      <c r="I34" s="1">
        <v>33</v>
      </c>
      <c r="J34" s="1">
        <v>33</v>
      </c>
    </row>
    <row r="35" spans="1:10" x14ac:dyDescent="0.3">
      <c r="A35" t="s">
        <v>59</v>
      </c>
      <c r="C35" s="1">
        <v>34</v>
      </c>
      <c r="E35">
        <v>1</v>
      </c>
      <c r="F35" s="1">
        <v>34</v>
      </c>
      <c r="H35">
        <v>2</v>
      </c>
      <c r="I35" s="1">
        <v>34</v>
      </c>
      <c r="J35" s="1">
        <v>34</v>
      </c>
    </row>
    <row r="36" spans="1:10" x14ac:dyDescent="0.3">
      <c r="A36" t="s">
        <v>60</v>
      </c>
      <c r="C36" s="1">
        <v>35</v>
      </c>
      <c r="E36">
        <v>1</v>
      </c>
      <c r="F36" s="1">
        <v>35</v>
      </c>
      <c r="H36">
        <v>2</v>
      </c>
      <c r="I36" s="1">
        <v>35</v>
      </c>
      <c r="J36" s="1">
        <v>35</v>
      </c>
    </row>
    <row r="37" spans="1:10" x14ac:dyDescent="0.3">
      <c r="A37" t="s">
        <v>61</v>
      </c>
      <c r="C37" s="1">
        <v>36</v>
      </c>
      <c r="E37">
        <v>1</v>
      </c>
      <c r="F37" s="1">
        <v>36</v>
      </c>
      <c r="H37">
        <v>2</v>
      </c>
      <c r="I37" s="1">
        <v>36</v>
      </c>
      <c r="J37" s="1">
        <v>36</v>
      </c>
    </row>
    <row r="38" spans="1:10" x14ac:dyDescent="0.3">
      <c r="A38" t="s">
        <v>62</v>
      </c>
      <c r="C38" s="1">
        <v>37</v>
      </c>
      <c r="E38">
        <v>1</v>
      </c>
      <c r="F38" s="1">
        <v>37</v>
      </c>
      <c r="H38">
        <v>2</v>
      </c>
      <c r="I38" s="1">
        <v>37</v>
      </c>
      <c r="J38" s="1">
        <v>37</v>
      </c>
    </row>
    <row r="39" spans="1:10" x14ac:dyDescent="0.3">
      <c r="A39" t="s">
        <v>63</v>
      </c>
      <c r="C39" s="1">
        <v>38</v>
      </c>
      <c r="E39">
        <v>1</v>
      </c>
      <c r="F39" s="1">
        <v>38</v>
      </c>
      <c r="H39">
        <v>2</v>
      </c>
      <c r="I39" s="1">
        <v>38</v>
      </c>
      <c r="J39" s="1">
        <v>38</v>
      </c>
    </row>
    <row r="40" spans="1:10" x14ac:dyDescent="0.3">
      <c r="A40" t="s">
        <v>64</v>
      </c>
      <c r="C40" s="1">
        <v>39</v>
      </c>
      <c r="E40">
        <v>1</v>
      </c>
      <c r="F40" s="1">
        <v>39</v>
      </c>
      <c r="H40">
        <v>2</v>
      </c>
      <c r="I40" s="1">
        <v>39</v>
      </c>
      <c r="J40" s="1">
        <v>39</v>
      </c>
    </row>
    <row r="41" spans="1:10" x14ac:dyDescent="0.3">
      <c r="A41" t="s">
        <v>65</v>
      </c>
      <c r="C41" s="1">
        <v>40</v>
      </c>
      <c r="E41">
        <v>1</v>
      </c>
      <c r="F41" s="1">
        <v>40</v>
      </c>
      <c r="H41">
        <v>3</v>
      </c>
      <c r="I41" s="1">
        <v>40</v>
      </c>
      <c r="J41" s="1">
        <v>40</v>
      </c>
    </row>
    <row r="42" spans="1:10" x14ac:dyDescent="0.3">
      <c r="A42" t="s">
        <v>66</v>
      </c>
      <c r="C42" s="1">
        <v>41</v>
      </c>
      <c r="E42">
        <v>1</v>
      </c>
      <c r="F42" s="1">
        <v>41</v>
      </c>
      <c r="H42">
        <v>3</v>
      </c>
      <c r="I42" s="1">
        <v>41</v>
      </c>
      <c r="J42" s="1">
        <v>41</v>
      </c>
    </row>
    <row r="43" spans="1:10" x14ac:dyDescent="0.3">
      <c r="A43" t="s">
        <v>67</v>
      </c>
      <c r="C43" s="1">
        <v>42</v>
      </c>
      <c r="E43">
        <v>1</v>
      </c>
      <c r="F43" s="1">
        <v>42</v>
      </c>
      <c r="H43">
        <v>3</v>
      </c>
      <c r="I43" s="1">
        <v>42</v>
      </c>
      <c r="J43" s="1">
        <v>42</v>
      </c>
    </row>
    <row r="44" spans="1:10" x14ac:dyDescent="0.3">
      <c r="A44" t="s">
        <v>68</v>
      </c>
      <c r="C44" s="1">
        <v>43</v>
      </c>
      <c r="E44">
        <v>1</v>
      </c>
      <c r="F44" s="1">
        <v>43</v>
      </c>
      <c r="H44">
        <v>3</v>
      </c>
      <c r="I44" s="1">
        <v>43</v>
      </c>
      <c r="J44" s="1">
        <v>43</v>
      </c>
    </row>
    <row r="45" spans="1:10" x14ac:dyDescent="0.3">
      <c r="A45" t="s">
        <v>69</v>
      </c>
      <c r="C45" s="1">
        <v>44</v>
      </c>
      <c r="E45">
        <v>1</v>
      </c>
      <c r="F45" s="1">
        <v>44</v>
      </c>
      <c r="H45">
        <v>3</v>
      </c>
      <c r="I45" s="1">
        <v>44</v>
      </c>
      <c r="J45" s="1">
        <v>44</v>
      </c>
    </row>
    <row r="46" spans="1:10" x14ac:dyDescent="0.3">
      <c r="A46" t="s">
        <v>70</v>
      </c>
      <c r="C46" s="1">
        <v>45</v>
      </c>
      <c r="E46">
        <v>1</v>
      </c>
      <c r="F46" s="1">
        <v>45</v>
      </c>
      <c r="H46">
        <v>3</v>
      </c>
      <c r="I46" s="1">
        <v>45</v>
      </c>
      <c r="J46" s="1">
        <v>45</v>
      </c>
    </row>
    <row r="47" spans="1:10" x14ac:dyDescent="0.3">
      <c r="A47" t="s">
        <v>71</v>
      </c>
      <c r="C47" s="1">
        <v>46</v>
      </c>
      <c r="E47">
        <v>1</v>
      </c>
      <c r="F47" s="1">
        <v>46</v>
      </c>
      <c r="H47">
        <v>3</v>
      </c>
      <c r="I47" s="1">
        <v>46</v>
      </c>
      <c r="J47" s="1">
        <v>46</v>
      </c>
    </row>
    <row r="48" spans="1:10" x14ac:dyDescent="0.3">
      <c r="A48" t="s">
        <v>72</v>
      </c>
      <c r="C48" s="1">
        <v>47</v>
      </c>
      <c r="E48">
        <v>1</v>
      </c>
      <c r="F48" s="1">
        <v>47</v>
      </c>
      <c r="H48">
        <v>4</v>
      </c>
      <c r="I48" s="1">
        <v>47</v>
      </c>
      <c r="J48" s="1">
        <v>47</v>
      </c>
    </row>
    <row r="49" spans="1:10" x14ac:dyDescent="0.3">
      <c r="A49" t="s">
        <v>73</v>
      </c>
      <c r="C49" s="1">
        <v>48</v>
      </c>
      <c r="E49">
        <v>1</v>
      </c>
      <c r="F49" s="1">
        <v>48</v>
      </c>
      <c r="H49">
        <v>4</v>
      </c>
      <c r="I49" s="1">
        <v>48</v>
      </c>
      <c r="J49" s="1">
        <v>48</v>
      </c>
    </row>
    <row r="50" spans="1:10" x14ac:dyDescent="0.3">
      <c r="A50" t="s">
        <v>74</v>
      </c>
      <c r="C50" s="1">
        <v>49</v>
      </c>
      <c r="E50">
        <v>1</v>
      </c>
      <c r="F50" s="1">
        <v>49</v>
      </c>
      <c r="H50">
        <v>4</v>
      </c>
      <c r="I50" s="1">
        <v>49</v>
      </c>
      <c r="J50" s="1">
        <v>49</v>
      </c>
    </row>
    <row r="51" spans="1:10" x14ac:dyDescent="0.3">
      <c r="A51" t="s">
        <v>75</v>
      </c>
      <c r="C51" s="1">
        <v>50</v>
      </c>
      <c r="E51">
        <v>1</v>
      </c>
      <c r="F51" s="1">
        <v>50</v>
      </c>
      <c r="H51">
        <v>4</v>
      </c>
      <c r="I51" s="1">
        <v>50</v>
      </c>
      <c r="J51" s="1">
        <v>50</v>
      </c>
    </row>
    <row r="52" spans="1:10" x14ac:dyDescent="0.3">
      <c r="A52" t="s">
        <v>76</v>
      </c>
      <c r="C52" s="1">
        <v>51</v>
      </c>
      <c r="E52">
        <v>1</v>
      </c>
      <c r="F52" s="1">
        <v>51</v>
      </c>
      <c r="H52">
        <v>4</v>
      </c>
      <c r="I52" s="1">
        <v>51</v>
      </c>
      <c r="J52" s="1">
        <v>51</v>
      </c>
    </row>
    <row r="53" spans="1:10" x14ac:dyDescent="0.3">
      <c r="A53" t="s">
        <v>77</v>
      </c>
      <c r="C53" s="1">
        <v>52</v>
      </c>
      <c r="E53">
        <v>1</v>
      </c>
      <c r="F53" s="1">
        <v>52</v>
      </c>
      <c r="H53">
        <v>4</v>
      </c>
      <c r="I53" s="1">
        <v>52</v>
      </c>
      <c r="J53" s="1">
        <v>52</v>
      </c>
    </row>
    <row r="54" spans="1:10" x14ac:dyDescent="0.3">
      <c r="A54" t="s">
        <v>78</v>
      </c>
      <c r="C54" s="1">
        <v>53</v>
      </c>
      <c r="E54">
        <v>1</v>
      </c>
      <c r="F54" s="1">
        <v>53</v>
      </c>
      <c r="H54">
        <v>4</v>
      </c>
      <c r="I54" s="1">
        <v>53</v>
      </c>
      <c r="J54" s="1">
        <v>53</v>
      </c>
    </row>
    <row r="55" spans="1:10" x14ac:dyDescent="0.3">
      <c r="A55" t="s">
        <v>79</v>
      </c>
      <c r="C55" s="1">
        <v>54</v>
      </c>
      <c r="E55">
        <v>1</v>
      </c>
      <c r="F55" s="1">
        <v>54</v>
      </c>
      <c r="H55">
        <v>4</v>
      </c>
      <c r="I55" s="1">
        <v>54</v>
      </c>
      <c r="J55" s="1">
        <v>54</v>
      </c>
    </row>
    <row r="56" spans="1:10" x14ac:dyDescent="0.3">
      <c r="A56" t="s">
        <v>80</v>
      </c>
      <c r="C56" s="1">
        <v>55</v>
      </c>
      <c r="E56">
        <v>1</v>
      </c>
      <c r="F56" s="1">
        <v>55</v>
      </c>
      <c r="H56">
        <v>4</v>
      </c>
      <c r="I56" s="1">
        <v>55</v>
      </c>
      <c r="J56" s="1">
        <v>55</v>
      </c>
    </row>
    <row r="57" spans="1:10" x14ac:dyDescent="0.3">
      <c r="A57" t="s">
        <v>81</v>
      </c>
      <c r="C57" s="1">
        <v>56</v>
      </c>
      <c r="E57">
        <v>1</v>
      </c>
      <c r="F57" s="1">
        <v>56</v>
      </c>
      <c r="H57">
        <v>4</v>
      </c>
      <c r="I57" s="1">
        <v>56</v>
      </c>
      <c r="J57" s="1">
        <v>56</v>
      </c>
    </row>
    <row r="58" spans="1:10" x14ac:dyDescent="0.3">
      <c r="A58" t="s">
        <v>82</v>
      </c>
      <c r="C58" s="1">
        <v>57</v>
      </c>
      <c r="E58">
        <v>1</v>
      </c>
      <c r="F58" s="1">
        <v>57</v>
      </c>
      <c r="H58">
        <v>4</v>
      </c>
      <c r="I58" s="1">
        <v>57</v>
      </c>
      <c r="J58" s="1">
        <v>57</v>
      </c>
    </row>
    <row r="59" spans="1:10" x14ac:dyDescent="0.3">
      <c r="A59" t="s">
        <v>83</v>
      </c>
      <c r="C59" s="1">
        <v>58</v>
      </c>
      <c r="E59">
        <v>1</v>
      </c>
      <c r="F59" s="1">
        <v>58</v>
      </c>
      <c r="H59">
        <v>4</v>
      </c>
      <c r="I59" s="1">
        <v>58</v>
      </c>
      <c r="J59" s="1">
        <v>58</v>
      </c>
    </row>
    <row r="60" spans="1:10" x14ac:dyDescent="0.3">
      <c r="A60" t="s">
        <v>84</v>
      </c>
      <c r="C60" s="1">
        <v>59</v>
      </c>
      <c r="E60">
        <v>1</v>
      </c>
      <c r="F60" s="1">
        <v>59</v>
      </c>
      <c r="H60">
        <v>4</v>
      </c>
      <c r="I60" s="1">
        <v>59</v>
      </c>
      <c r="J60" s="1">
        <v>59</v>
      </c>
    </row>
    <row r="61" spans="1:10" x14ac:dyDescent="0.3">
      <c r="A61" t="s">
        <v>85</v>
      </c>
      <c r="C61" s="1">
        <v>60</v>
      </c>
      <c r="E61">
        <v>1</v>
      </c>
      <c r="F61" s="1">
        <v>60</v>
      </c>
      <c r="H61">
        <v>2</v>
      </c>
      <c r="I61" s="1">
        <v>60</v>
      </c>
      <c r="J61" s="1">
        <v>60</v>
      </c>
    </row>
    <row r="62" spans="1:10" x14ac:dyDescent="0.3">
      <c r="A62" t="s">
        <v>86</v>
      </c>
      <c r="C62" s="1">
        <v>61</v>
      </c>
      <c r="E62">
        <v>1</v>
      </c>
      <c r="F62" s="1">
        <v>61</v>
      </c>
      <c r="H62">
        <v>2</v>
      </c>
      <c r="I62" s="1">
        <v>61</v>
      </c>
      <c r="J62" s="1">
        <v>61</v>
      </c>
    </row>
    <row r="63" spans="1:10" x14ac:dyDescent="0.3">
      <c r="A63" t="s">
        <v>87</v>
      </c>
      <c r="C63" s="1">
        <v>62</v>
      </c>
      <c r="E63">
        <v>1</v>
      </c>
      <c r="F63" s="1">
        <v>62</v>
      </c>
      <c r="H63">
        <v>2</v>
      </c>
      <c r="I63" s="1">
        <v>62</v>
      </c>
      <c r="J63" s="1">
        <v>62</v>
      </c>
    </row>
    <row r="64" spans="1:10" x14ac:dyDescent="0.3">
      <c r="A64" t="s">
        <v>88</v>
      </c>
      <c r="C64" s="1">
        <v>63</v>
      </c>
      <c r="E64">
        <v>1</v>
      </c>
      <c r="F64" s="1">
        <v>63</v>
      </c>
      <c r="H64">
        <v>2</v>
      </c>
      <c r="I64" s="1">
        <v>63</v>
      </c>
      <c r="J64" s="1">
        <v>63</v>
      </c>
    </row>
    <row r="65" spans="1:10" x14ac:dyDescent="0.3">
      <c r="A65" t="s">
        <v>89</v>
      </c>
      <c r="C65" s="1">
        <v>64</v>
      </c>
      <c r="E65">
        <v>1</v>
      </c>
      <c r="F65" s="1">
        <v>64</v>
      </c>
      <c r="H65">
        <v>2</v>
      </c>
      <c r="I65" s="1">
        <v>64</v>
      </c>
      <c r="J65" s="1">
        <v>64</v>
      </c>
    </row>
    <row r="66" spans="1:10" x14ac:dyDescent="0.3">
      <c r="A66" t="s">
        <v>90</v>
      </c>
      <c r="C66" s="1">
        <v>65</v>
      </c>
      <c r="E66">
        <v>1</v>
      </c>
      <c r="F66" s="1">
        <v>65</v>
      </c>
      <c r="H66">
        <v>2</v>
      </c>
      <c r="I66" s="1">
        <v>65</v>
      </c>
      <c r="J66" s="1">
        <v>65</v>
      </c>
    </row>
    <row r="67" spans="1:10" x14ac:dyDescent="0.3">
      <c r="A67" t="s">
        <v>91</v>
      </c>
      <c r="C67" s="1">
        <v>66</v>
      </c>
      <c r="E67">
        <v>1</v>
      </c>
      <c r="F67" s="1">
        <v>66</v>
      </c>
      <c r="H67">
        <v>2</v>
      </c>
      <c r="I67" s="1">
        <v>66</v>
      </c>
      <c r="J67" s="1">
        <v>66</v>
      </c>
    </row>
    <row r="68" spans="1:10" x14ac:dyDescent="0.3">
      <c r="A68" t="s">
        <v>92</v>
      </c>
      <c r="C68" s="1">
        <v>67</v>
      </c>
      <c r="E68">
        <v>1</v>
      </c>
      <c r="F68" s="1">
        <v>67</v>
      </c>
      <c r="H68">
        <v>2</v>
      </c>
      <c r="I68" s="1">
        <v>67</v>
      </c>
      <c r="J68" s="1">
        <v>67</v>
      </c>
    </row>
    <row r="69" spans="1:10" x14ac:dyDescent="0.3">
      <c r="A69" t="s">
        <v>93</v>
      </c>
      <c r="C69" s="1">
        <v>68</v>
      </c>
      <c r="E69">
        <v>1</v>
      </c>
      <c r="F69" s="1">
        <v>68</v>
      </c>
      <c r="H69">
        <v>2</v>
      </c>
      <c r="I69" s="1">
        <v>68</v>
      </c>
      <c r="J69" s="1">
        <v>68</v>
      </c>
    </row>
    <row r="70" spans="1:10" x14ac:dyDescent="0.3">
      <c r="A70" t="s">
        <v>94</v>
      </c>
      <c r="C70" s="1">
        <v>69</v>
      </c>
      <c r="E70">
        <v>1</v>
      </c>
      <c r="F70" s="1">
        <v>69</v>
      </c>
      <c r="H70">
        <v>2</v>
      </c>
      <c r="I70" s="1">
        <v>69</v>
      </c>
      <c r="J70" s="1">
        <v>69</v>
      </c>
    </row>
    <row r="71" spans="1:10" x14ac:dyDescent="0.3">
      <c r="A71" t="s">
        <v>115</v>
      </c>
      <c r="C71" s="1">
        <v>70</v>
      </c>
      <c r="E71">
        <v>3</v>
      </c>
      <c r="F71" s="1">
        <v>70</v>
      </c>
      <c r="H71">
        <v>5</v>
      </c>
      <c r="I71" s="1">
        <v>70</v>
      </c>
      <c r="J71" s="1">
        <v>70</v>
      </c>
    </row>
    <row r="72" spans="1:10" x14ac:dyDescent="0.3">
      <c r="A72" t="s">
        <v>119</v>
      </c>
      <c r="C72" s="1">
        <v>71</v>
      </c>
      <c r="E72">
        <v>3</v>
      </c>
      <c r="F72" s="1">
        <v>71</v>
      </c>
      <c r="H72">
        <v>5</v>
      </c>
      <c r="I72" s="1">
        <v>71</v>
      </c>
      <c r="J72" s="1">
        <v>71</v>
      </c>
    </row>
    <row r="73" spans="1:10" x14ac:dyDescent="0.3">
      <c r="A73" t="s">
        <v>18</v>
      </c>
      <c r="C73" s="1">
        <v>72</v>
      </c>
      <c r="E73">
        <v>3</v>
      </c>
      <c r="F73" s="1">
        <v>72</v>
      </c>
      <c r="H73">
        <v>5</v>
      </c>
      <c r="I73" s="1">
        <v>72</v>
      </c>
      <c r="J73" s="1">
        <v>72</v>
      </c>
    </row>
    <row r="74" spans="1:10" x14ac:dyDescent="0.3">
      <c r="A74" t="s">
        <v>122</v>
      </c>
      <c r="C74" s="1">
        <v>73</v>
      </c>
      <c r="E74">
        <v>3</v>
      </c>
      <c r="F74" s="1">
        <v>73</v>
      </c>
      <c r="H74">
        <v>5</v>
      </c>
      <c r="I74" s="1">
        <v>73</v>
      </c>
      <c r="J74" s="1">
        <v>73</v>
      </c>
    </row>
    <row r="75" spans="1:10" x14ac:dyDescent="0.3">
      <c r="A75" t="s">
        <v>121</v>
      </c>
      <c r="C75" s="1">
        <v>74</v>
      </c>
      <c r="E75">
        <v>3</v>
      </c>
      <c r="F75" s="1">
        <v>74</v>
      </c>
      <c r="H75">
        <v>5</v>
      </c>
      <c r="I75" s="1">
        <v>74</v>
      </c>
      <c r="J75" s="1">
        <v>74</v>
      </c>
    </row>
    <row r="76" spans="1:10" x14ac:dyDescent="0.3">
      <c r="A76" t="s">
        <v>22</v>
      </c>
      <c r="C76" s="1">
        <v>75</v>
      </c>
      <c r="E76">
        <v>3</v>
      </c>
      <c r="F76" s="1">
        <v>75</v>
      </c>
      <c r="H76">
        <v>5</v>
      </c>
      <c r="I76" s="1">
        <v>75</v>
      </c>
      <c r="J76" s="1">
        <v>75</v>
      </c>
    </row>
    <row r="77" spans="1:10" x14ac:dyDescent="0.3">
      <c r="A77" t="s">
        <v>23</v>
      </c>
      <c r="C77" s="1">
        <v>76</v>
      </c>
      <c r="E77">
        <v>3</v>
      </c>
      <c r="F77" s="1">
        <v>76</v>
      </c>
      <c r="H77">
        <v>5</v>
      </c>
      <c r="I77" s="1">
        <v>76</v>
      </c>
      <c r="J77" s="1">
        <v>76</v>
      </c>
    </row>
    <row r="78" spans="1:10" x14ac:dyDescent="0.3">
      <c r="A78" t="s">
        <v>124</v>
      </c>
      <c r="C78" s="1">
        <v>77</v>
      </c>
      <c r="E78">
        <v>3</v>
      </c>
      <c r="F78" s="1">
        <v>77</v>
      </c>
      <c r="H78">
        <v>5</v>
      </c>
      <c r="I78" s="1">
        <v>77</v>
      </c>
      <c r="J78" s="1">
        <v>77</v>
      </c>
    </row>
    <row r="79" spans="1:10" x14ac:dyDescent="0.3">
      <c r="A79" t="s">
        <v>25</v>
      </c>
      <c r="C79" s="1">
        <v>78</v>
      </c>
      <c r="E79">
        <v>3</v>
      </c>
      <c r="F79" s="1">
        <v>78</v>
      </c>
      <c r="H79">
        <v>5</v>
      </c>
      <c r="I79" s="1">
        <v>78</v>
      </c>
      <c r="J79" s="1">
        <v>78</v>
      </c>
    </row>
    <row r="80" spans="1:10" x14ac:dyDescent="0.3">
      <c r="A80" t="s">
        <v>123</v>
      </c>
      <c r="C80" s="1">
        <v>79</v>
      </c>
      <c r="E80">
        <v>3</v>
      </c>
      <c r="F80" s="1">
        <v>79</v>
      </c>
      <c r="H80">
        <v>5</v>
      </c>
      <c r="I80" s="1">
        <v>79</v>
      </c>
      <c r="J80" s="1">
        <v>79</v>
      </c>
    </row>
    <row r="81" spans="1:10" x14ac:dyDescent="0.3">
      <c r="A81" t="s">
        <v>27</v>
      </c>
      <c r="C81" s="1">
        <v>80</v>
      </c>
      <c r="E81">
        <v>3</v>
      </c>
      <c r="F81" s="1">
        <v>80</v>
      </c>
      <c r="H81">
        <v>5</v>
      </c>
      <c r="I81" s="1">
        <v>80</v>
      </c>
      <c r="J81" s="1">
        <v>80</v>
      </c>
    </row>
    <row r="82" spans="1:10" x14ac:dyDescent="0.3">
      <c r="A82" t="s">
        <v>28</v>
      </c>
      <c r="C82" s="1">
        <v>81</v>
      </c>
      <c r="E82">
        <v>3</v>
      </c>
      <c r="F82" s="1">
        <v>81</v>
      </c>
      <c r="H82">
        <v>5</v>
      </c>
      <c r="I82" s="1">
        <v>81</v>
      </c>
      <c r="J82" s="1">
        <v>81</v>
      </c>
    </row>
    <row r="83" spans="1:10" x14ac:dyDescent="0.3">
      <c r="A83" t="s">
        <v>29</v>
      </c>
      <c r="C83" s="1">
        <v>82</v>
      </c>
      <c r="E83">
        <v>3</v>
      </c>
      <c r="F83" s="1">
        <v>82</v>
      </c>
      <c r="H83">
        <v>5</v>
      </c>
      <c r="I83" s="1">
        <v>82</v>
      </c>
      <c r="J83" s="1">
        <v>82</v>
      </c>
    </row>
    <row r="84" spans="1:10" x14ac:dyDescent="0.3">
      <c r="A84" t="s">
        <v>141</v>
      </c>
      <c r="C84" s="1">
        <v>83</v>
      </c>
      <c r="E84">
        <v>2</v>
      </c>
      <c r="F84" s="1">
        <v>83</v>
      </c>
      <c r="H84">
        <v>6</v>
      </c>
      <c r="I84" s="1">
        <v>83</v>
      </c>
      <c r="J84" s="1">
        <v>83</v>
      </c>
    </row>
    <row r="85" spans="1:10" x14ac:dyDescent="0.3">
      <c r="A85" t="s">
        <v>142</v>
      </c>
      <c r="C85" s="1">
        <v>84</v>
      </c>
      <c r="E85">
        <v>2</v>
      </c>
      <c r="F85" s="1">
        <v>84</v>
      </c>
      <c r="H85">
        <v>6</v>
      </c>
      <c r="I85" s="1">
        <v>84</v>
      </c>
      <c r="J85" s="1">
        <v>84</v>
      </c>
    </row>
    <row r="86" spans="1:10" x14ac:dyDescent="0.3">
      <c r="A86" t="s">
        <v>143</v>
      </c>
      <c r="C86" s="1">
        <v>85</v>
      </c>
      <c r="E86">
        <v>2</v>
      </c>
      <c r="F86" s="1">
        <v>85</v>
      </c>
      <c r="H86">
        <v>6</v>
      </c>
      <c r="I86" s="1">
        <v>85</v>
      </c>
      <c r="J86" s="1">
        <v>85</v>
      </c>
    </row>
    <row r="87" spans="1:10" x14ac:dyDescent="0.3">
      <c r="A87" t="s">
        <v>144</v>
      </c>
      <c r="C87" s="1">
        <v>86</v>
      </c>
      <c r="E87">
        <v>2</v>
      </c>
      <c r="F87" s="1">
        <v>86</v>
      </c>
      <c r="H87">
        <v>6</v>
      </c>
      <c r="I87" s="1">
        <v>86</v>
      </c>
      <c r="J87" s="1">
        <v>86</v>
      </c>
    </row>
    <row r="88" spans="1:10" x14ac:dyDescent="0.3">
      <c r="A88" t="s">
        <v>145</v>
      </c>
      <c r="C88" s="1">
        <v>87</v>
      </c>
      <c r="E88">
        <v>2</v>
      </c>
      <c r="F88" s="1">
        <v>87</v>
      </c>
      <c r="H88">
        <v>6</v>
      </c>
      <c r="I88" s="1">
        <v>87</v>
      </c>
      <c r="J88" s="1">
        <v>87</v>
      </c>
    </row>
    <row r="89" spans="1:10" x14ac:dyDescent="0.3">
      <c r="A89" t="s">
        <v>146</v>
      </c>
      <c r="C89" s="1">
        <v>88</v>
      </c>
      <c r="E89">
        <v>2</v>
      </c>
      <c r="F89" s="1">
        <v>88</v>
      </c>
      <c r="H89">
        <v>6</v>
      </c>
      <c r="I89" s="1">
        <v>88</v>
      </c>
      <c r="J89" s="1">
        <v>88</v>
      </c>
    </row>
    <row r="90" spans="1:10" x14ac:dyDescent="0.3">
      <c r="A90" t="s">
        <v>147</v>
      </c>
      <c r="C90" s="1">
        <v>89</v>
      </c>
      <c r="E90">
        <v>2</v>
      </c>
      <c r="F90" s="1">
        <v>89</v>
      </c>
      <c r="H90">
        <v>6</v>
      </c>
      <c r="I90" s="1">
        <v>89</v>
      </c>
      <c r="J90" s="1">
        <v>89</v>
      </c>
    </row>
    <row r="91" spans="1:10" x14ac:dyDescent="0.3">
      <c r="A91" t="s">
        <v>148</v>
      </c>
      <c r="C91" s="1">
        <v>90</v>
      </c>
      <c r="E91">
        <v>2</v>
      </c>
      <c r="F91" s="1">
        <v>90</v>
      </c>
      <c r="H91">
        <v>6</v>
      </c>
      <c r="I91" s="1">
        <v>90</v>
      </c>
      <c r="J91" s="1">
        <v>90</v>
      </c>
    </row>
    <row r="92" spans="1:10" x14ac:dyDescent="0.3">
      <c r="A92" t="s">
        <v>153</v>
      </c>
      <c r="C92" s="1">
        <v>91</v>
      </c>
      <c r="E92">
        <v>3</v>
      </c>
      <c r="F92" s="1">
        <v>91</v>
      </c>
      <c r="H92">
        <v>1</v>
      </c>
      <c r="I92" s="1">
        <v>91</v>
      </c>
      <c r="J92" s="1">
        <v>91</v>
      </c>
    </row>
    <row r="93" spans="1:10" x14ac:dyDescent="0.3">
      <c r="A93" t="s">
        <v>129</v>
      </c>
      <c r="C93" s="1">
        <v>92</v>
      </c>
      <c r="E93">
        <v>3</v>
      </c>
      <c r="F93" s="1">
        <v>92</v>
      </c>
      <c r="H93">
        <v>5</v>
      </c>
      <c r="I93" s="1">
        <v>92</v>
      </c>
      <c r="J93" s="1">
        <v>92</v>
      </c>
    </row>
    <row r="94" spans="1:10" x14ac:dyDescent="0.3">
      <c r="A94" t="s">
        <v>126</v>
      </c>
      <c r="C94" s="1">
        <v>93</v>
      </c>
      <c r="E94">
        <v>3</v>
      </c>
      <c r="F94" s="1">
        <v>93</v>
      </c>
      <c r="H94">
        <v>5</v>
      </c>
      <c r="I94" s="1">
        <v>93</v>
      </c>
      <c r="J94" s="1">
        <v>93</v>
      </c>
    </row>
    <row r="95" spans="1:10" x14ac:dyDescent="0.3">
      <c r="A95" t="s">
        <v>125</v>
      </c>
      <c r="C95" s="1">
        <v>94</v>
      </c>
      <c r="E95">
        <v>3</v>
      </c>
      <c r="F95" s="1">
        <v>94</v>
      </c>
      <c r="H95">
        <v>5</v>
      </c>
      <c r="I95" s="1">
        <v>94</v>
      </c>
      <c r="J95" s="1">
        <v>94</v>
      </c>
    </row>
    <row r="96" spans="1:10" x14ac:dyDescent="0.3">
      <c r="A96" t="s">
        <v>157</v>
      </c>
      <c r="C96" s="1">
        <v>95</v>
      </c>
      <c r="E96">
        <v>3</v>
      </c>
      <c r="F96" s="1">
        <v>95</v>
      </c>
      <c r="H96">
        <v>5</v>
      </c>
      <c r="I96" s="1">
        <v>95</v>
      </c>
      <c r="J96" s="1">
        <v>95</v>
      </c>
    </row>
    <row r="97" spans="1:10" x14ac:dyDescent="0.3">
      <c r="A97" t="s">
        <v>128</v>
      </c>
      <c r="C97" s="1">
        <v>96</v>
      </c>
      <c r="E97">
        <v>3</v>
      </c>
      <c r="F97" s="1">
        <v>96</v>
      </c>
      <c r="H97">
        <v>5</v>
      </c>
      <c r="I97" s="1">
        <v>96</v>
      </c>
      <c r="J97" s="1">
        <v>96</v>
      </c>
    </row>
    <row r="98" spans="1:10" x14ac:dyDescent="0.3">
      <c r="A98" t="s">
        <v>166</v>
      </c>
      <c r="C98" s="1">
        <v>97</v>
      </c>
      <c r="E98">
        <v>1</v>
      </c>
      <c r="F98" s="1">
        <v>97</v>
      </c>
      <c r="H98">
        <v>4</v>
      </c>
      <c r="I98" s="1">
        <v>97</v>
      </c>
      <c r="J98" s="1">
        <v>97</v>
      </c>
    </row>
    <row r="99" spans="1:10" x14ac:dyDescent="0.3">
      <c r="A99" t="s">
        <v>167</v>
      </c>
      <c r="C99" s="1">
        <v>98</v>
      </c>
      <c r="E99">
        <v>1</v>
      </c>
      <c r="F99" s="1">
        <v>98</v>
      </c>
      <c r="H99">
        <v>4</v>
      </c>
      <c r="I99" s="1">
        <v>98</v>
      </c>
      <c r="J99" s="1">
        <v>98</v>
      </c>
    </row>
    <row r="100" spans="1:10" x14ac:dyDescent="0.3">
      <c r="A100" t="s">
        <v>168</v>
      </c>
      <c r="C100" s="1">
        <v>99</v>
      </c>
      <c r="E100">
        <v>1</v>
      </c>
      <c r="F100" s="1">
        <v>99</v>
      </c>
      <c r="H100">
        <v>4</v>
      </c>
      <c r="I100" s="1">
        <v>99</v>
      </c>
      <c r="J100" s="1">
        <v>99</v>
      </c>
    </row>
    <row r="101" spans="1:10" x14ac:dyDescent="0.3">
      <c r="A101" t="s">
        <v>169</v>
      </c>
      <c r="C101" s="1">
        <v>100</v>
      </c>
      <c r="E101">
        <v>1</v>
      </c>
      <c r="F101" s="1">
        <v>100</v>
      </c>
      <c r="H101">
        <v>2</v>
      </c>
      <c r="I101" s="1">
        <v>100</v>
      </c>
      <c r="J101" s="1">
        <v>100</v>
      </c>
    </row>
    <row r="102" spans="1:10" x14ac:dyDescent="0.3">
      <c r="A102" t="s">
        <v>171</v>
      </c>
      <c r="C102" s="1">
        <v>101</v>
      </c>
      <c r="E102">
        <v>1</v>
      </c>
      <c r="F102" s="1">
        <v>101</v>
      </c>
      <c r="H102">
        <v>2</v>
      </c>
      <c r="I102" s="1">
        <v>101</v>
      </c>
      <c r="J102" s="1">
        <v>101</v>
      </c>
    </row>
    <row r="103" spans="1:10" x14ac:dyDescent="0.3">
      <c r="A103" t="s">
        <v>172</v>
      </c>
      <c r="C103" s="1">
        <v>102</v>
      </c>
      <c r="E103">
        <v>1</v>
      </c>
      <c r="F103" s="1">
        <v>102</v>
      </c>
      <c r="H103">
        <v>2</v>
      </c>
      <c r="I103" s="1">
        <v>102</v>
      </c>
      <c r="J103" s="1">
        <v>102</v>
      </c>
    </row>
    <row r="104" spans="1:10" x14ac:dyDescent="0.3">
      <c r="A104" t="s">
        <v>175</v>
      </c>
      <c r="C104" s="1">
        <v>103</v>
      </c>
      <c r="E104">
        <v>1</v>
      </c>
      <c r="F104" s="1">
        <v>103</v>
      </c>
      <c r="H104">
        <v>4</v>
      </c>
      <c r="I104" s="1">
        <v>103</v>
      </c>
      <c r="J104" s="1">
        <v>103</v>
      </c>
    </row>
    <row r="105" spans="1:10" x14ac:dyDescent="0.3">
      <c r="A105" t="s">
        <v>176</v>
      </c>
      <c r="C105" s="1">
        <v>104</v>
      </c>
      <c r="E105">
        <v>1</v>
      </c>
      <c r="F105" s="1">
        <v>104</v>
      </c>
      <c r="H105">
        <v>4</v>
      </c>
      <c r="I105" s="1">
        <v>104</v>
      </c>
      <c r="J105" s="1">
        <v>104</v>
      </c>
    </row>
    <row r="106" spans="1:10" x14ac:dyDescent="0.3">
      <c r="A106" t="s">
        <v>177</v>
      </c>
      <c r="C106" s="1">
        <v>105</v>
      </c>
      <c r="E106">
        <v>1</v>
      </c>
      <c r="F106" s="1">
        <v>105</v>
      </c>
      <c r="H106">
        <v>3</v>
      </c>
      <c r="I106" s="1">
        <v>105</v>
      </c>
      <c r="J106" s="1">
        <v>105</v>
      </c>
    </row>
    <row r="107" spans="1:10" x14ac:dyDescent="0.3">
      <c r="A107" t="s">
        <v>178</v>
      </c>
      <c r="C107" s="1">
        <v>106</v>
      </c>
      <c r="E107">
        <v>1</v>
      </c>
      <c r="F107" s="1">
        <v>106</v>
      </c>
      <c r="H107">
        <v>2</v>
      </c>
      <c r="I107" s="1">
        <v>106</v>
      </c>
      <c r="J107" s="1">
        <v>106</v>
      </c>
    </row>
    <row r="108" spans="1:10" x14ac:dyDescent="0.3">
      <c r="A108" t="s">
        <v>187</v>
      </c>
      <c r="C108" s="1">
        <v>107</v>
      </c>
      <c r="E108">
        <v>4</v>
      </c>
      <c r="F108" s="1">
        <v>107</v>
      </c>
      <c r="H108">
        <v>7</v>
      </c>
      <c r="I108" s="1">
        <v>107</v>
      </c>
      <c r="J108" s="1">
        <v>107</v>
      </c>
    </row>
    <row r="109" spans="1:10" x14ac:dyDescent="0.3">
      <c r="A109" t="s">
        <v>188</v>
      </c>
      <c r="C109" s="1">
        <v>108</v>
      </c>
      <c r="E109">
        <v>4</v>
      </c>
      <c r="F109" s="1">
        <v>108</v>
      </c>
      <c r="H109">
        <v>7</v>
      </c>
      <c r="I109" s="1">
        <v>108</v>
      </c>
      <c r="J109" s="1">
        <v>108</v>
      </c>
    </row>
    <row r="110" spans="1:10" x14ac:dyDescent="0.3">
      <c r="A110" t="s">
        <v>189</v>
      </c>
      <c r="C110" s="1">
        <v>109</v>
      </c>
      <c r="E110">
        <v>4</v>
      </c>
      <c r="F110" s="1">
        <v>109</v>
      </c>
      <c r="H110">
        <v>7</v>
      </c>
      <c r="I110" s="1">
        <v>109</v>
      </c>
      <c r="J110" s="1">
        <v>109</v>
      </c>
    </row>
    <row r="111" spans="1:10" x14ac:dyDescent="0.3">
      <c r="A111" t="s">
        <v>190</v>
      </c>
      <c r="C111" s="1">
        <v>110</v>
      </c>
      <c r="E111">
        <v>4</v>
      </c>
      <c r="F111" s="1">
        <v>110</v>
      </c>
      <c r="H111">
        <v>7</v>
      </c>
      <c r="I111" s="1">
        <v>110</v>
      </c>
      <c r="J111" s="1">
        <v>110</v>
      </c>
    </row>
    <row r="112" spans="1:10" x14ac:dyDescent="0.3">
      <c r="A112" t="s">
        <v>191</v>
      </c>
      <c r="C112" s="1">
        <v>111</v>
      </c>
      <c r="E112">
        <v>4</v>
      </c>
      <c r="F112" s="1">
        <v>111</v>
      </c>
      <c r="H112">
        <v>7</v>
      </c>
      <c r="I112" s="1">
        <v>111</v>
      </c>
      <c r="J112" s="1">
        <v>111</v>
      </c>
    </row>
    <row r="113" spans="1:10" x14ac:dyDescent="0.3">
      <c r="A113" t="s">
        <v>130</v>
      </c>
      <c r="C113" s="1">
        <v>112</v>
      </c>
      <c r="E113">
        <v>3</v>
      </c>
      <c r="F113" s="1">
        <v>112</v>
      </c>
      <c r="H113">
        <v>5</v>
      </c>
      <c r="I113" s="1">
        <v>112</v>
      </c>
      <c r="J113" s="1">
        <v>112</v>
      </c>
    </row>
    <row r="114" spans="1:10" x14ac:dyDescent="0.3">
      <c r="A114" t="s">
        <v>127</v>
      </c>
      <c r="C114" s="1">
        <v>113</v>
      </c>
      <c r="E114">
        <v>3</v>
      </c>
      <c r="F114" s="1">
        <v>113</v>
      </c>
      <c r="H114">
        <v>5</v>
      </c>
      <c r="I114" s="1">
        <v>113</v>
      </c>
      <c r="J114" s="1">
        <v>113</v>
      </c>
    </row>
    <row r="115" spans="1:10" x14ac:dyDescent="0.3">
      <c r="A115" t="s">
        <v>200</v>
      </c>
      <c r="C115" s="1">
        <v>114</v>
      </c>
      <c r="E115">
        <v>2</v>
      </c>
      <c r="F115" s="1">
        <v>114</v>
      </c>
      <c r="H115">
        <v>2</v>
      </c>
      <c r="I115" s="1">
        <v>114</v>
      </c>
      <c r="J115" s="1">
        <v>114</v>
      </c>
    </row>
    <row r="116" spans="1:10" x14ac:dyDescent="0.3">
      <c r="A116" t="s">
        <v>201</v>
      </c>
      <c r="C116" s="1">
        <v>115</v>
      </c>
      <c r="E116">
        <v>2</v>
      </c>
      <c r="F116" s="1">
        <v>115</v>
      </c>
      <c r="H116">
        <v>2</v>
      </c>
      <c r="I116" s="1">
        <v>115</v>
      </c>
      <c r="J116" s="1">
        <v>115</v>
      </c>
    </row>
    <row r="117" spans="1:10" x14ac:dyDescent="0.3">
      <c r="A117" t="s">
        <v>204</v>
      </c>
      <c r="C117" s="1">
        <v>116</v>
      </c>
      <c r="E117">
        <v>2</v>
      </c>
      <c r="F117" s="1">
        <v>116</v>
      </c>
      <c r="H117">
        <v>4</v>
      </c>
      <c r="I117" s="1">
        <v>116</v>
      </c>
      <c r="J117" s="1">
        <v>116</v>
      </c>
    </row>
    <row r="118" spans="1:10" x14ac:dyDescent="0.3">
      <c r="A118" t="s">
        <v>206</v>
      </c>
      <c r="C118" s="1">
        <v>117</v>
      </c>
      <c r="E118">
        <v>2</v>
      </c>
      <c r="F118" s="1">
        <v>117</v>
      </c>
      <c r="H118">
        <v>4</v>
      </c>
      <c r="I118" s="1">
        <v>117</v>
      </c>
      <c r="J118" s="1">
        <v>117</v>
      </c>
    </row>
    <row r="119" spans="1:10" x14ac:dyDescent="0.3">
      <c r="A119" t="s">
        <v>202</v>
      </c>
      <c r="C119" s="1">
        <v>118</v>
      </c>
      <c r="E119">
        <v>3</v>
      </c>
      <c r="F119" s="1">
        <v>118</v>
      </c>
      <c r="H119">
        <v>2</v>
      </c>
      <c r="I119" s="1">
        <v>118</v>
      </c>
      <c r="J119" s="1">
        <v>118</v>
      </c>
    </row>
    <row r="120" spans="1:10" x14ac:dyDescent="0.3">
      <c r="A120" t="s">
        <v>203</v>
      </c>
      <c r="C120" s="1">
        <v>119</v>
      </c>
      <c r="E120">
        <v>3</v>
      </c>
      <c r="F120" s="1">
        <v>119</v>
      </c>
      <c r="H120">
        <v>2</v>
      </c>
      <c r="I120" s="1">
        <v>119</v>
      </c>
      <c r="J120" s="1">
        <v>119</v>
      </c>
    </row>
    <row r="121" spans="1:10" x14ac:dyDescent="0.3">
      <c r="A121" t="s">
        <v>212</v>
      </c>
      <c r="C121" s="1">
        <v>120</v>
      </c>
      <c r="E121">
        <v>2</v>
      </c>
      <c r="F121" s="1">
        <v>120</v>
      </c>
      <c r="H121">
        <v>4</v>
      </c>
      <c r="I121" s="1">
        <v>120</v>
      </c>
      <c r="J121" s="1">
        <v>120</v>
      </c>
    </row>
    <row r="122" spans="1:10" x14ac:dyDescent="0.3">
      <c r="A122" t="s">
        <v>213</v>
      </c>
      <c r="C122" s="1">
        <v>121</v>
      </c>
      <c r="E122">
        <v>2</v>
      </c>
      <c r="F122" s="1">
        <v>121</v>
      </c>
      <c r="H122">
        <v>3</v>
      </c>
      <c r="I122" s="1">
        <v>121</v>
      </c>
      <c r="J122" s="1">
        <v>121</v>
      </c>
    </row>
    <row r="123" spans="1:10" x14ac:dyDescent="0.3">
      <c r="A123" t="s">
        <v>214</v>
      </c>
      <c r="C123" s="1">
        <v>122</v>
      </c>
      <c r="E123">
        <v>2</v>
      </c>
      <c r="F123" s="1">
        <v>122</v>
      </c>
      <c r="H123">
        <v>2</v>
      </c>
      <c r="I123" s="1">
        <v>122</v>
      </c>
      <c r="J123" s="1">
        <v>122</v>
      </c>
    </row>
    <row r="124" spans="1:10" x14ac:dyDescent="0.3">
      <c r="A124" t="s">
        <v>215</v>
      </c>
      <c r="C124" s="1">
        <v>123</v>
      </c>
      <c r="E124">
        <v>2</v>
      </c>
      <c r="F124" s="1">
        <v>123</v>
      </c>
      <c r="H124">
        <v>2</v>
      </c>
      <c r="I124" s="1">
        <v>123</v>
      </c>
      <c r="J124" s="1">
        <v>123</v>
      </c>
    </row>
    <row r="125" spans="1:10" x14ac:dyDescent="0.3">
      <c r="A125" t="s">
        <v>216</v>
      </c>
      <c r="C125" s="1">
        <v>124</v>
      </c>
      <c r="E125">
        <v>2</v>
      </c>
      <c r="F125" s="1">
        <v>124</v>
      </c>
      <c r="H125">
        <v>2</v>
      </c>
      <c r="I125" s="1">
        <v>124</v>
      </c>
      <c r="J125" s="1">
        <v>124</v>
      </c>
    </row>
  </sheetData>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5"/>
  <sheetViews>
    <sheetView tabSelected="1" workbookViewId="0">
      <selection activeCell="E24" sqref="E24"/>
    </sheetView>
  </sheetViews>
  <sheetFormatPr defaultRowHeight="14.4" x14ac:dyDescent="0.3"/>
  <sheetData>
    <row r="1" spans="1:2" x14ac:dyDescent="0.3">
      <c r="A1" t="s">
        <v>182</v>
      </c>
      <c r="B1" t="s">
        <v>114</v>
      </c>
    </row>
    <row r="2" spans="1:2" x14ac:dyDescent="0.3">
      <c r="A2" t="s">
        <v>184</v>
      </c>
      <c r="B2">
        <v>1</v>
      </c>
    </row>
    <row r="3" spans="1:2" x14ac:dyDescent="0.3">
      <c r="A3" t="s">
        <v>120</v>
      </c>
      <c r="B3">
        <v>2</v>
      </c>
    </row>
    <row r="4" spans="1:2" x14ac:dyDescent="0.3">
      <c r="A4" t="s">
        <v>185</v>
      </c>
      <c r="B4">
        <v>3</v>
      </c>
    </row>
    <row r="5" spans="1:2" x14ac:dyDescent="0.3">
      <c r="A5" t="s">
        <v>186</v>
      </c>
      <c r="B5">
        <v>4</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8"/>
  <sheetViews>
    <sheetView workbookViewId="0"/>
  </sheetViews>
  <sheetFormatPr defaultRowHeight="14.4" x14ac:dyDescent="0.3"/>
  <sheetData>
    <row r="1" spans="1:2" x14ac:dyDescent="0.3">
      <c r="A1" t="s">
        <v>183</v>
      </c>
      <c r="B1" t="s">
        <v>114</v>
      </c>
    </row>
    <row r="2" spans="1:2" x14ac:dyDescent="0.3">
      <c r="A2" t="s">
        <v>225</v>
      </c>
      <c r="B2">
        <v>1</v>
      </c>
    </row>
    <row r="3" spans="1:2" x14ac:dyDescent="0.3">
      <c r="A3" t="s">
        <v>226</v>
      </c>
      <c r="B3">
        <v>2</v>
      </c>
    </row>
    <row r="4" spans="1:2" x14ac:dyDescent="0.3">
      <c r="A4" t="s">
        <v>227</v>
      </c>
      <c r="B4">
        <v>3</v>
      </c>
    </row>
    <row r="5" spans="1:2" x14ac:dyDescent="0.3">
      <c r="A5" t="s">
        <v>228</v>
      </c>
      <c r="B5">
        <v>4</v>
      </c>
    </row>
    <row r="6" spans="1:2" x14ac:dyDescent="0.3">
      <c r="A6" t="s">
        <v>229</v>
      </c>
      <c r="B6">
        <v>5</v>
      </c>
    </row>
    <row r="7" spans="1:2" x14ac:dyDescent="0.3">
      <c r="A7" t="s">
        <v>230</v>
      </c>
      <c r="B7">
        <v>6</v>
      </c>
    </row>
    <row r="8" spans="1:2" x14ac:dyDescent="0.3">
      <c r="A8" t="s">
        <v>231</v>
      </c>
      <c r="B8">
        <v>7</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4"/>
  <sheetViews>
    <sheetView workbookViewId="0">
      <selection activeCell="D7" sqref="D7"/>
    </sheetView>
  </sheetViews>
  <sheetFormatPr defaultRowHeight="14.4" x14ac:dyDescent="0.3"/>
  <sheetData>
    <row r="1" spans="1:2" x14ac:dyDescent="0.3">
      <c r="A1" t="s">
        <v>221</v>
      </c>
      <c r="B1" t="s">
        <v>220</v>
      </c>
    </row>
    <row r="2" spans="1:2" x14ac:dyDescent="0.3">
      <c r="A2" t="s">
        <v>222</v>
      </c>
      <c r="B2">
        <v>1</v>
      </c>
    </row>
    <row r="3" spans="1:2" x14ac:dyDescent="0.3">
      <c r="A3" t="s">
        <v>223</v>
      </c>
      <c r="B3">
        <v>2</v>
      </c>
    </row>
    <row r="4" spans="1:2" x14ac:dyDescent="0.3">
      <c r="A4" t="s">
        <v>224</v>
      </c>
      <c r="B4">
        <v>3</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G70"/>
  <sheetViews>
    <sheetView workbookViewId="0">
      <selection activeCell="I14" sqref="I14"/>
    </sheetView>
  </sheetViews>
  <sheetFormatPr defaultRowHeight="14.4" x14ac:dyDescent="0.3"/>
  <cols>
    <col min="3" max="3" width="10" customWidth="1"/>
    <col min="5" max="6" width="12.21875" customWidth="1"/>
    <col min="7" max="7" width="11.21875" customWidth="1"/>
  </cols>
  <sheetData>
    <row r="1" spans="1:7" x14ac:dyDescent="0.3">
      <c r="A1" t="s">
        <v>12</v>
      </c>
      <c r="E1" t="s">
        <v>112</v>
      </c>
      <c r="F1" t="s">
        <v>113</v>
      </c>
      <c r="G1" t="s">
        <v>111</v>
      </c>
    </row>
    <row r="2" spans="1:7" x14ac:dyDescent="0.3">
      <c r="A2" t="s">
        <v>30</v>
      </c>
      <c r="E2">
        <v>1</v>
      </c>
      <c r="F2">
        <v>1</v>
      </c>
      <c r="G2">
        <v>1.95</v>
      </c>
    </row>
    <row r="3" spans="1:7" x14ac:dyDescent="0.3">
      <c r="A3" t="s">
        <v>31</v>
      </c>
      <c r="E3">
        <v>1</v>
      </c>
      <c r="F3">
        <v>2</v>
      </c>
      <c r="G3">
        <v>1.65</v>
      </c>
    </row>
    <row r="4" spans="1:7" x14ac:dyDescent="0.3">
      <c r="A4" t="s">
        <v>116</v>
      </c>
      <c r="E4">
        <v>1</v>
      </c>
      <c r="F4">
        <v>3</v>
      </c>
      <c r="G4">
        <v>6.95</v>
      </c>
    </row>
    <row r="5" spans="1:7" x14ac:dyDescent="0.3">
      <c r="A5" t="s">
        <v>117</v>
      </c>
      <c r="E5">
        <v>1</v>
      </c>
      <c r="F5">
        <v>4</v>
      </c>
      <c r="G5">
        <v>5.95</v>
      </c>
    </row>
    <row r="6" spans="1:7" x14ac:dyDescent="0.3">
      <c r="A6" t="s">
        <v>32</v>
      </c>
      <c r="E6">
        <v>1</v>
      </c>
      <c r="F6">
        <v>5</v>
      </c>
      <c r="G6">
        <v>6.25</v>
      </c>
    </row>
    <row r="7" spans="1:7" x14ac:dyDescent="0.3">
      <c r="A7" t="s">
        <v>14</v>
      </c>
      <c r="E7">
        <v>1</v>
      </c>
      <c r="F7">
        <v>6</v>
      </c>
      <c r="G7">
        <v>2.5</v>
      </c>
    </row>
    <row r="8" spans="1:7" x14ac:dyDescent="0.3">
      <c r="A8" t="s">
        <v>118</v>
      </c>
      <c r="E8">
        <v>1</v>
      </c>
      <c r="F8">
        <v>7</v>
      </c>
      <c r="G8">
        <v>5.95</v>
      </c>
    </row>
    <row r="9" spans="1:7" x14ac:dyDescent="0.3">
      <c r="A9" t="s">
        <v>33</v>
      </c>
      <c r="E9">
        <v>1</v>
      </c>
      <c r="F9">
        <v>8</v>
      </c>
      <c r="G9">
        <v>5.5</v>
      </c>
    </row>
    <row r="10" spans="1:7" x14ac:dyDescent="0.3">
      <c r="A10" t="s">
        <v>34</v>
      </c>
      <c r="E10">
        <v>1</v>
      </c>
      <c r="F10">
        <v>9</v>
      </c>
      <c r="G10">
        <v>7.95</v>
      </c>
    </row>
    <row r="11" spans="1:7" x14ac:dyDescent="0.3">
      <c r="A11" t="s">
        <v>35</v>
      </c>
      <c r="E11">
        <v>1</v>
      </c>
      <c r="F11">
        <v>10</v>
      </c>
      <c r="G11">
        <v>6.95</v>
      </c>
    </row>
    <row r="12" spans="1:7" x14ac:dyDescent="0.3">
      <c r="A12" t="s">
        <v>36</v>
      </c>
      <c r="E12">
        <v>1</v>
      </c>
      <c r="F12">
        <v>11</v>
      </c>
      <c r="G12">
        <v>2.25</v>
      </c>
    </row>
    <row r="13" spans="1:7" x14ac:dyDescent="0.3">
      <c r="A13" t="s">
        <v>40</v>
      </c>
      <c r="E13">
        <v>1</v>
      </c>
      <c r="F13">
        <v>12</v>
      </c>
      <c r="G13">
        <v>1.75</v>
      </c>
    </row>
    <row r="14" spans="1:7" x14ac:dyDescent="0.3">
      <c r="A14" t="s">
        <v>37</v>
      </c>
      <c r="E14">
        <v>1</v>
      </c>
      <c r="F14">
        <v>13</v>
      </c>
      <c r="G14">
        <v>6.95</v>
      </c>
    </row>
    <row r="15" spans="1:7" x14ac:dyDescent="0.3">
      <c r="A15" t="s">
        <v>38</v>
      </c>
      <c r="E15">
        <v>1</v>
      </c>
      <c r="F15">
        <v>14</v>
      </c>
      <c r="G15">
        <v>6.25</v>
      </c>
    </row>
    <row r="16" spans="1:7" x14ac:dyDescent="0.3">
      <c r="A16" t="s">
        <v>39</v>
      </c>
      <c r="E16">
        <v>1</v>
      </c>
      <c r="F16">
        <v>15</v>
      </c>
      <c r="G16">
        <v>10.95</v>
      </c>
    </row>
    <row r="17" spans="1:7" x14ac:dyDescent="0.3">
      <c r="A17" t="s">
        <v>42</v>
      </c>
      <c r="E17">
        <v>1</v>
      </c>
      <c r="F17">
        <v>16</v>
      </c>
      <c r="G17">
        <v>10.95</v>
      </c>
    </row>
    <row r="18" spans="1:7" x14ac:dyDescent="0.3">
      <c r="A18" t="s">
        <v>41</v>
      </c>
      <c r="E18">
        <v>1</v>
      </c>
      <c r="F18">
        <v>17</v>
      </c>
      <c r="G18">
        <v>12.95</v>
      </c>
    </row>
    <row r="19" spans="1:7" x14ac:dyDescent="0.3">
      <c r="A19" t="s">
        <v>43</v>
      </c>
      <c r="E19">
        <v>1</v>
      </c>
      <c r="F19">
        <v>18</v>
      </c>
      <c r="G19">
        <v>12.95</v>
      </c>
    </row>
    <row r="20" spans="1:7" x14ac:dyDescent="0.3">
      <c r="A20" t="s">
        <v>44</v>
      </c>
      <c r="E20">
        <v>1</v>
      </c>
      <c r="F20">
        <v>19</v>
      </c>
      <c r="G20">
        <v>12.95</v>
      </c>
    </row>
    <row r="21" spans="1:7" x14ac:dyDescent="0.3">
      <c r="A21" t="s">
        <v>45</v>
      </c>
      <c r="E21">
        <v>1</v>
      </c>
      <c r="F21">
        <v>20</v>
      </c>
      <c r="G21">
        <v>12.95</v>
      </c>
    </row>
    <row r="22" spans="1:7" x14ac:dyDescent="0.3">
      <c r="A22" t="s">
        <v>46</v>
      </c>
      <c r="E22">
        <v>1</v>
      </c>
      <c r="F22">
        <v>21</v>
      </c>
      <c r="G22">
        <v>12.95</v>
      </c>
    </row>
    <row r="23" spans="1:7" x14ac:dyDescent="0.3">
      <c r="A23" t="s">
        <v>47</v>
      </c>
      <c r="E23">
        <v>1</v>
      </c>
      <c r="F23">
        <v>22</v>
      </c>
      <c r="G23">
        <v>12.95</v>
      </c>
    </row>
    <row r="24" spans="1:7" x14ac:dyDescent="0.3">
      <c r="A24" t="s">
        <v>48</v>
      </c>
      <c r="E24">
        <v>1</v>
      </c>
      <c r="F24">
        <v>23</v>
      </c>
      <c r="G24">
        <v>12.95</v>
      </c>
    </row>
    <row r="25" spans="1:7" x14ac:dyDescent="0.3">
      <c r="A25" t="s">
        <v>49</v>
      </c>
      <c r="E25">
        <v>1</v>
      </c>
      <c r="F25">
        <v>24</v>
      </c>
      <c r="G25">
        <v>11.95</v>
      </c>
    </row>
    <row r="26" spans="1:7" x14ac:dyDescent="0.3">
      <c r="A26" t="s">
        <v>50</v>
      </c>
      <c r="E26">
        <v>1</v>
      </c>
      <c r="F26">
        <v>25</v>
      </c>
      <c r="G26">
        <v>11.95</v>
      </c>
    </row>
    <row r="27" spans="1:7" x14ac:dyDescent="0.3">
      <c r="A27" t="s">
        <v>51</v>
      </c>
      <c r="E27">
        <v>1</v>
      </c>
      <c r="F27">
        <v>26</v>
      </c>
      <c r="G27">
        <v>11.95</v>
      </c>
    </row>
    <row r="28" spans="1:7" x14ac:dyDescent="0.3">
      <c r="A28" t="s">
        <v>52</v>
      </c>
      <c r="E28">
        <v>1</v>
      </c>
      <c r="F28">
        <v>27</v>
      </c>
      <c r="G28">
        <v>11.95</v>
      </c>
    </row>
    <row r="29" spans="1:7" x14ac:dyDescent="0.3">
      <c r="A29" t="s">
        <v>53</v>
      </c>
      <c r="E29">
        <v>1</v>
      </c>
      <c r="F29">
        <v>28</v>
      </c>
      <c r="G29">
        <v>11.95</v>
      </c>
    </row>
    <row r="30" spans="1:7" x14ac:dyDescent="0.3">
      <c r="A30" t="s">
        <v>54</v>
      </c>
      <c r="E30">
        <v>1</v>
      </c>
      <c r="F30">
        <v>29</v>
      </c>
      <c r="G30">
        <v>11.95</v>
      </c>
    </row>
    <row r="31" spans="1:7" x14ac:dyDescent="0.3">
      <c r="A31" t="s">
        <v>55</v>
      </c>
      <c r="E31">
        <v>1</v>
      </c>
      <c r="F31">
        <v>30</v>
      </c>
      <c r="G31">
        <v>11.95</v>
      </c>
    </row>
    <row r="32" spans="1:7" x14ac:dyDescent="0.3">
      <c r="A32" t="s">
        <v>56</v>
      </c>
      <c r="E32">
        <v>1</v>
      </c>
      <c r="F32">
        <v>31</v>
      </c>
      <c r="G32">
        <v>13.95</v>
      </c>
    </row>
    <row r="33" spans="1:7" x14ac:dyDescent="0.3">
      <c r="A33" t="s">
        <v>57</v>
      </c>
      <c r="E33">
        <v>1</v>
      </c>
      <c r="F33">
        <v>32</v>
      </c>
      <c r="G33">
        <v>14.95</v>
      </c>
    </row>
    <row r="34" spans="1:7" x14ac:dyDescent="0.3">
      <c r="A34" t="s">
        <v>58</v>
      </c>
      <c r="E34">
        <v>1</v>
      </c>
      <c r="F34">
        <v>33</v>
      </c>
      <c r="G34">
        <v>14.95</v>
      </c>
    </row>
    <row r="35" spans="1:7" x14ac:dyDescent="0.3">
      <c r="A35" t="s">
        <v>59</v>
      </c>
      <c r="E35">
        <v>1</v>
      </c>
      <c r="F35">
        <v>34</v>
      </c>
      <c r="G35">
        <v>14.95</v>
      </c>
    </row>
    <row r="36" spans="1:7" x14ac:dyDescent="0.3">
      <c r="A36" t="s">
        <v>60</v>
      </c>
      <c r="E36">
        <v>1</v>
      </c>
      <c r="F36">
        <v>35</v>
      </c>
      <c r="G36">
        <v>14.95</v>
      </c>
    </row>
    <row r="37" spans="1:7" x14ac:dyDescent="0.3">
      <c r="A37" t="s">
        <v>61</v>
      </c>
      <c r="E37">
        <v>1</v>
      </c>
      <c r="F37">
        <v>36</v>
      </c>
      <c r="G37">
        <v>14.95</v>
      </c>
    </row>
    <row r="38" spans="1:7" x14ac:dyDescent="0.3">
      <c r="A38" t="s">
        <v>62</v>
      </c>
      <c r="E38">
        <v>1</v>
      </c>
      <c r="F38">
        <v>37</v>
      </c>
      <c r="G38">
        <v>14.95</v>
      </c>
    </row>
    <row r="39" spans="1:7" x14ac:dyDescent="0.3">
      <c r="A39" t="s">
        <v>63</v>
      </c>
      <c r="E39">
        <v>1</v>
      </c>
      <c r="F39">
        <v>38</v>
      </c>
      <c r="G39">
        <v>14.95</v>
      </c>
    </row>
    <row r="40" spans="1:7" x14ac:dyDescent="0.3">
      <c r="A40" t="s">
        <v>64</v>
      </c>
      <c r="E40">
        <v>1</v>
      </c>
      <c r="F40">
        <v>39</v>
      </c>
      <c r="G40">
        <v>15.95</v>
      </c>
    </row>
    <row r="41" spans="1:7" x14ac:dyDescent="0.3">
      <c r="A41" t="s">
        <v>65</v>
      </c>
      <c r="E41">
        <v>1</v>
      </c>
      <c r="F41">
        <v>40</v>
      </c>
      <c r="G41">
        <v>8.9499999999999993</v>
      </c>
    </row>
    <row r="42" spans="1:7" x14ac:dyDescent="0.3">
      <c r="A42" t="s">
        <v>66</v>
      </c>
      <c r="E42">
        <v>1</v>
      </c>
      <c r="F42">
        <v>41</v>
      </c>
      <c r="G42">
        <v>8.9499999999999993</v>
      </c>
    </row>
    <row r="43" spans="1:7" x14ac:dyDescent="0.3">
      <c r="A43" t="s">
        <v>67</v>
      </c>
      <c r="E43">
        <v>1</v>
      </c>
      <c r="F43">
        <v>42</v>
      </c>
      <c r="G43">
        <v>8.9499999999999993</v>
      </c>
    </row>
    <row r="44" spans="1:7" x14ac:dyDescent="0.3">
      <c r="A44" t="s">
        <v>68</v>
      </c>
      <c r="E44">
        <v>1</v>
      </c>
      <c r="F44">
        <v>43</v>
      </c>
      <c r="G44">
        <v>8.9499999999999993</v>
      </c>
    </row>
    <row r="45" spans="1:7" x14ac:dyDescent="0.3">
      <c r="A45" t="s">
        <v>69</v>
      </c>
      <c r="E45">
        <v>1</v>
      </c>
      <c r="F45">
        <v>44</v>
      </c>
      <c r="G45">
        <v>8.9499999999999993</v>
      </c>
    </row>
    <row r="46" spans="1:7" x14ac:dyDescent="0.3">
      <c r="A46" t="s">
        <v>70</v>
      </c>
      <c r="E46">
        <v>1</v>
      </c>
      <c r="F46">
        <v>45</v>
      </c>
      <c r="G46">
        <v>9.5</v>
      </c>
    </row>
    <row r="47" spans="1:7" x14ac:dyDescent="0.3">
      <c r="A47" t="s">
        <v>71</v>
      </c>
      <c r="E47">
        <v>1</v>
      </c>
      <c r="F47">
        <v>46</v>
      </c>
      <c r="G47">
        <v>9.5</v>
      </c>
    </row>
    <row r="48" spans="1:7" x14ac:dyDescent="0.3">
      <c r="A48" t="s">
        <v>72</v>
      </c>
      <c r="E48">
        <v>1</v>
      </c>
      <c r="F48">
        <v>47</v>
      </c>
      <c r="G48">
        <v>9.9499999999999993</v>
      </c>
    </row>
    <row r="49" spans="1:7" x14ac:dyDescent="0.3">
      <c r="A49" t="s">
        <v>73</v>
      </c>
      <c r="E49">
        <v>1</v>
      </c>
      <c r="F49">
        <v>48</v>
      </c>
      <c r="G49">
        <v>8.9499999999999993</v>
      </c>
    </row>
    <row r="50" spans="1:7" x14ac:dyDescent="0.3">
      <c r="A50" t="s">
        <v>74</v>
      </c>
      <c r="E50">
        <v>1</v>
      </c>
      <c r="F50">
        <v>49</v>
      </c>
      <c r="G50">
        <v>10.95</v>
      </c>
    </row>
    <row r="51" spans="1:7" x14ac:dyDescent="0.3">
      <c r="A51" t="s">
        <v>75</v>
      </c>
      <c r="E51">
        <v>1</v>
      </c>
      <c r="F51">
        <v>50</v>
      </c>
      <c r="G51">
        <v>10.95</v>
      </c>
    </row>
    <row r="52" spans="1:7" x14ac:dyDescent="0.3">
      <c r="A52" t="s">
        <v>76</v>
      </c>
      <c r="E52">
        <v>1</v>
      </c>
      <c r="F52">
        <v>51</v>
      </c>
      <c r="G52">
        <v>9.5</v>
      </c>
    </row>
    <row r="53" spans="1:7" x14ac:dyDescent="0.3">
      <c r="A53" t="s">
        <v>77</v>
      </c>
      <c r="E53">
        <v>1</v>
      </c>
      <c r="F53">
        <v>52</v>
      </c>
      <c r="G53">
        <v>10.95</v>
      </c>
    </row>
    <row r="54" spans="1:7" x14ac:dyDescent="0.3">
      <c r="A54" t="s">
        <v>78</v>
      </c>
      <c r="E54">
        <v>1</v>
      </c>
      <c r="F54">
        <v>53</v>
      </c>
      <c r="G54">
        <v>10.95</v>
      </c>
    </row>
    <row r="55" spans="1:7" x14ac:dyDescent="0.3">
      <c r="A55" t="s">
        <v>79</v>
      </c>
      <c r="E55">
        <v>1</v>
      </c>
      <c r="F55">
        <v>54</v>
      </c>
      <c r="G55">
        <v>9.5</v>
      </c>
    </row>
    <row r="56" spans="1:7" x14ac:dyDescent="0.3">
      <c r="A56" t="s">
        <v>80</v>
      </c>
      <c r="E56">
        <v>1</v>
      </c>
      <c r="F56">
        <v>55</v>
      </c>
      <c r="G56">
        <v>10.95</v>
      </c>
    </row>
    <row r="57" spans="1:7" x14ac:dyDescent="0.3">
      <c r="A57" t="s">
        <v>81</v>
      </c>
      <c r="E57">
        <v>1</v>
      </c>
      <c r="F57">
        <v>56</v>
      </c>
      <c r="G57">
        <v>8.9499999999999993</v>
      </c>
    </row>
    <row r="58" spans="1:7" x14ac:dyDescent="0.3">
      <c r="A58" t="s">
        <v>82</v>
      </c>
      <c r="E58">
        <v>1</v>
      </c>
      <c r="F58">
        <v>57</v>
      </c>
      <c r="G58">
        <v>7.95</v>
      </c>
    </row>
    <row r="59" spans="1:7" x14ac:dyDescent="0.3">
      <c r="A59" t="s">
        <v>83</v>
      </c>
      <c r="E59">
        <v>1</v>
      </c>
      <c r="F59">
        <v>58</v>
      </c>
      <c r="G59">
        <v>8.9499999999999993</v>
      </c>
    </row>
    <row r="60" spans="1:7" x14ac:dyDescent="0.3">
      <c r="A60" t="s">
        <v>84</v>
      </c>
      <c r="E60">
        <v>1</v>
      </c>
      <c r="F60">
        <v>59</v>
      </c>
      <c r="G60">
        <v>5.95</v>
      </c>
    </row>
    <row r="61" spans="1:7" x14ac:dyDescent="0.3">
      <c r="A61" t="s">
        <v>85</v>
      </c>
      <c r="E61">
        <v>1</v>
      </c>
      <c r="F61">
        <v>60</v>
      </c>
      <c r="G61">
        <v>15.95</v>
      </c>
    </row>
    <row r="62" spans="1:7" x14ac:dyDescent="0.3">
      <c r="A62" t="s">
        <v>86</v>
      </c>
      <c r="E62">
        <v>1</v>
      </c>
      <c r="F62">
        <v>61</v>
      </c>
      <c r="G62">
        <v>13.95</v>
      </c>
    </row>
    <row r="63" spans="1:7" x14ac:dyDescent="0.3">
      <c r="A63" t="s">
        <v>87</v>
      </c>
      <c r="E63">
        <v>1</v>
      </c>
      <c r="F63">
        <v>62</v>
      </c>
      <c r="G63">
        <v>12.95</v>
      </c>
    </row>
    <row r="64" spans="1:7" x14ac:dyDescent="0.3">
      <c r="A64" t="s">
        <v>88</v>
      </c>
      <c r="E64">
        <v>1</v>
      </c>
      <c r="F64">
        <v>63</v>
      </c>
      <c r="G64">
        <v>12.95</v>
      </c>
    </row>
    <row r="65" spans="1:7" x14ac:dyDescent="0.3">
      <c r="A65" t="s">
        <v>89</v>
      </c>
      <c r="E65">
        <v>1</v>
      </c>
      <c r="F65">
        <v>64</v>
      </c>
      <c r="G65">
        <v>15.95</v>
      </c>
    </row>
    <row r="66" spans="1:7" x14ac:dyDescent="0.3">
      <c r="A66" t="s">
        <v>90</v>
      </c>
      <c r="E66">
        <v>1</v>
      </c>
      <c r="F66">
        <v>65</v>
      </c>
      <c r="G66">
        <v>15.95</v>
      </c>
    </row>
    <row r="67" spans="1:7" x14ac:dyDescent="0.3">
      <c r="A67" t="s">
        <v>91</v>
      </c>
      <c r="E67">
        <v>1</v>
      </c>
      <c r="F67">
        <v>66</v>
      </c>
      <c r="G67">
        <v>12.95</v>
      </c>
    </row>
    <row r="68" spans="1:7" x14ac:dyDescent="0.3">
      <c r="A68" t="s">
        <v>92</v>
      </c>
      <c r="E68">
        <v>1</v>
      </c>
      <c r="F68">
        <v>67</v>
      </c>
      <c r="G68">
        <v>15.95</v>
      </c>
    </row>
    <row r="69" spans="1:7" x14ac:dyDescent="0.3">
      <c r="A69" t="s">
        <v>93</v>
      </c>
      <c r="E69">
        <v>1</v>
      </c>
      <c r="F69">
        <v>68</v>
      </c>
      <c r="G69">
        <v>15.95</v>
      </c>
    </row>
    <row r="70" spans="1:7" x14ac:dyDescent="0.3">
      <c r="A70" t="s">
        <v>94</v>
      </c>
      <c r="E70">
        <v>1</v>
      </c>
      <c r="F70">
        <v>69</v>
      </c>
      <c r="G70">
        <v>13.95</v>
      </c>
    </row>
  </sheetData>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4"/>
  <sheetViews>
    <sheetView workbookViewId="0">
      <selection activeCell="D2" sqref="D2:G14"/>
    </sheetView>
  </sheetViews>
  <sheetFormatPr defaultRowHeight="14.4" x14ac:dyDescent="0.3"/>
  <sheetData>
    <row r="1" spans="1:7" x14ac:dyDescent="0.3">
      <c r="A1" t="s">
        <v>12</v>
      </c>
      <c r="D1" t="s">
        <v>134</v>
      </c>
      <c r="E1" t="s">
        <v>135</v>
      </c>
      <c r="F1" t="s">
        <v>111</v>
      </c>
      <c r="G1" t="s">
        <v>13</v>
      </c>
    </row>
    <row r="2" spans="1:7" x14ac:dyDescent="0.3">
      <c r="A2" t="s">
        <v>115</v>
      </c>
      <c r="D2">
        <v>2</v>
      </c>
      <c r="E2">
        <v>70</v>
      </c>
      <c r="F2">
        <v>6</v>
      </c>
      <c r="G2" t="s">
        <v>136</v>
      </c>
    </row>
    <row r="3" spans="1:7" x14ac:dyDescent="0.3">
      <c r="A3" t="s">
        <v>119</v>
      </c>
      <c r="D3">
        <v>2</v>
      </c>
      <c r="E3">
        <v>71</v>
      </c>
      <c r="F3">
        <v>7</v>
      </c>
      <c r="G3" t="s">
        <v>17</v>
      </c>
    </row>
    <row r="4" spans="1:7" x14ac:dyDescent="0.3">
      <c r="A4" t="s">
        <v>18</v>
      </c>
      <c r="D4">
        <v>2</v>
      </c>
      <c r="E4">
        <v>72</v>
      </c>
      <c r="F4">
        <v>7</v>
      </c>
      <c r="G4" t="s">
        <v>137</v>
      </c>
    </row>
    <row r="5" spans="1:7" x14ac:dyDescent="0.3">
      <c r="A5" t="s">
        <v>122</v>
      </c>
      <c r="D5">
        <v>2</v>
      </c>
      <c r="E5">
        <v>73</v>
      </c>
      <c r="F5">
        <v>7</v>
      </c>
      <c r="G5" t="s">
        <v>20</v>
      </c>
    </row>
    <row r="6" spans="1:7" x14ac:dyDescent="0.3">
      <c r="A6" t="s">
        <v>121</v>
      </c>
      <c r="D6">
        <v>2</v>
      </c>
      <c r="E6">
        <v>74</v>
      </c>
      <c r="F6">
        <v>7</v>
      </c>
      <c r="G6" t="s">
        <v>21</v>
      </c>
    </row>
    <row r="7" spans="1:7" x14ac:dyDescent="0.3">
      <c r="A7" t="s">
        <v>22</v>
      </c>
      <c r="D7">
        <v>2</v>
      </c>
      <c r="E7">
        <v>75</v>
      </c>
      <c r="F7">
        <v>7</v>
      </c>
      <c r="G7" t="s">
        <v>138</v>
      </c>
    </row>
    <row r="8" spans="1:7" x14ac:dyDescent="0.3">
      <c r="A8" t="s">
        <v>23</v>
      </c>
      <c r="D8">
        <v>2</v>
      </c>
      <c r="E8">
        <v>76</v>
      </c>
      <c r="F8">
        <v>7</v>
      </c>
      <c r="G8" t="s">
        <v>131</v>
      </c>
    </row>
    <row r="9" spans="1:7" x14ac:dyDescent="0.3">
      <c r="A9" t="s">
        <v>124</v>
      </c>
      <c r="D9">
        <v>2</v>
      </c>
      <c r="E9">
        <v>77</v>
      </c>
      <c r="F9">
        <v>7</v>
      </c>
      <c r="G9" t="s">
        <v>24</v>
      </c>
    </row>
    <row r="10" spans="1:7" x14ac:dyDescent="0.3">
      <c r="A10" t="s">
        <v>25</v>
      </c>
      <c r="D10">
        <v>2</v>
      </c>
      <c r="E10">
        <v>78</v>
      </c>
      <c r="F10">
        <v>7</v>
      </c>
      <c r="G10" t="s">
        <v>139</v>
      </c>
    </row>
    <row r="11" spans="1:7" x14ac:dyDescent="0.3">
      <c r="A11" t="s">
        <v>123</v>
      </c>
      <c r="D11">
        <v>2</v>
      </c>
      <c r="E11">
        <v>79</v>
      </c>
      <c r="F11">
        <v>7</v>
      </c>
      <c r="G11" t="s">
        <v>26</v>
      </c>
    </row>
    <row r="12" spans="1:7" x14ac:dyDescent="0.3">
      <c r="A12" t="s">
        <v>27</v>
      </c>
      <c r="D12">
        <v>2</v>
      </c>
      <c r="E12">
        <v>80</v>
      </c>
      <c r="F12">
        <v>7</v>
      </c>
      <c r="G12" t="s">
        <v>132</v>
      </c>
    </row>
    <row r="13" spans="1:7" x14ac:dyDescent="0.3">
      <c r="A13" t="s">
        <v>28</v>
      </c>
      <c r="D13">
        <v>2</v>
      </c>
      <c r="E13">
        <v>81</v>
      </c>
      <c r="F13">
        <v>7</v>
      </c>
      <c r="G13" t="s">
        <v>140</v>
      </c>
    </row>
    <row r="14" spans="1:7" x14ac:dyDescent="0.3">
      <c r="A14" t="s">
        <v>29</v>
      </c>
      <c r="D14">
        <v>2</v>
      </c>
      <c r="E14">
        <v>82</v>
      </c>
      <c r="F14">
        <v>8</v>
      </c>
      <c r="G14" t="s">
        <v>133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D2" sqref="D2:G10"/>
    </sheetView>
  </sheetViews>
  <sheetFormatPr defaultRowHeight="14.4" x14ac:dyDescent="0.3"/>
  <sheetData>
    <row r="1" spans="1:7" x14ac:dyDescent="0.3">
      <c r="A1" t="s">
        <v>12</v>
      </c>
      <c r="D1" t="s">
        <v>112</v>
      </c>
      <c r="E1" t="s">
        <v>113</v>
      </c>
      <c r="F1" t="s">
        <v>111</v>
      </c>
      <c r="G1" t="s">
        <v>13</v>
      </c>
    </row>
    <row r="2" spans="1:7" x14ac:dyDescent="0.3">
      <c r="A2" t="s">
        <v>141</v>
      </c>
      <c r="D2">
        <v>3</v>
      </c>
      <c r="E2">
        <v>83</v>
      </c>
      <c r="F2">
        <v>6.99</v>
      </c>
      <c r="G2" t="s">
        <v>149</v>
      </c>
    </row>
    <row r="3" spans="1:7" x14ac:dyDescent="0.3">
      <c r="A3" t="s">
        <v>142</v>
      </c>
      <c r="D3">
        <v>3</v>
      </c>
      <c r="E3">
        <v>84</v>
      </c>
      <c r="F3">
        <v>7.99</v>
      </c>
      <c r="G3" t="s">
        <v>149</v>
      </c>
    </row>
    <row r="4" spans="1:7" x14ac:dyDescent="0.3">
      <c r="A4" t="s">
        <v>143</v>
      </c>
      <c r="D4">
        <v>3</v>
      </c>
      <c r="E4">
        <v>85</v>
      </c>
      <c r="F4">
        <v>9.99</v>
      </c>
      <c r="G4" t="s">
        <v>150</v>
      </c>
    </row>
    <row r="5" spans="1:7" x14ac:dyDescent="0.3">
      <c r="A5" t="s">
        <v>144</v>
      </c>
      <c r="D5">
        <v>3</v>
      </c>
      <c r="E5">
        <v>86</v>
      </c>
      <c r="F5">
        <f>9.99+1.25</f>
        <v>11.24</v>
      </c>
      <c r="G5" t="s">
        <v>150</v>
      </c>
    </row>
    <row r="6" spans="1:7" x14ac:dyDescent="0.3">
      <c r="A6" t="s">
        <v>145</v>
      </c>
      <c r="D6">
        <v>3</v>
      </c>
      <c r="E6">
        <v>87</v>
      </c>
      <c r="F6">
        <v>11.99</v>
      </c>
      <c r="G6" t="s">
        <v>151</v>
      </c>
    </row>
    <row r="7" spans="1:7" x14ac:dyDescent="0.3">
      <c r="A7" t="s">
        <v>146</v>
      </c>
      <c r="D7">
        <v>3</v>
      </c>
      <c r="E7">
        <v>88</v>
      </c>
      <c r="F7">
        <f>11.99+1.5</f>
        <v>13.49</v>
      </c>
      <c r="G7" t="s">
        <v>151</v>
      </c>
    </row>
    <row r="8" spans="1:7" x14ac:dyDescent="0.3">
      <c r="A8" t="s">
        <v>147</v>
      </c>
      <c r="D8">
        <v>3</v>
      </c>
      <c r="E8">
        <v>89</v>
      </c>
      <c r="F8">
        <v>14.99</v>
      </c>
      <c r="G8" t="s">
        <v>152</v>
      </c>
    </row>
    <row r="9" spans="1:7" x14ac:dyDescent="0.3">
      <c r="A9" t="s">
        <v>148</v>
      </c>
      <c r="D9">
        <v>3</v>
      </c>
      <c r="E9">
        <v>90</v>
      </c>
      <c r="F9">
        <f>14.99+2</f>
        <v>16.990000000000002</v>
      </c>
      <c r="G9" t="s">
        <v>152</v>
      </c>
    </row>
    <row r="10" spans="1:7" x14ac:dyDescent="0.3">
      <c r="A10" t="s">
        <v>153</v>
      </c>
      <c r="D10">
        <v>3</v>
      </c>
      <c r="E10">
        <v>91</v>
      </c>
      <c r="F10">
        <v>4.99</v>
      </c>
      <c r="G10" t="s">
        <v>154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10"/>
  <sheetViews>
    <sheetView workbookViewId="0">
      <selection activeCell="C1" sqref="C1"/>
    </sheetView>
  </sheetViews>
  <sheetFormatPr defaultRowHeight="14.4" x14ac:dyDescent="0.3"/>
  <sheetData>
    <row r="1" spans="1:8" x14ac:dyDescent="0.3">
      <c r="A1" t="s">
        <v>155</v>
      </c>
      <c r="C1" t="s">
        <v>12</v>
      </c>
      <c r="E1" t="s">
        <v>112</v>
      </c>
      <c r="F1" t="s">
        <v>113</v>
      </c>
      <c r="G1" t="s">
        <v>111</v>
      </c>
      <c r="H1" t="s">
        <v>13</v>
      </c>
    </row>
    <row r="2" spans="1:8" x14ac:dyDescent="0.3">
      <c r="A2" t="s">
        <v>129</v>
      </c>
      <c r="E2">
        <v>4</v>
      </c>
      <c r="F2">
        <v>92</v>
      </c>
      <c r="G2">
        <v>6.99</v>
      </c>
      <c r="H2" t="s">
        <v>156</v>
      </c>
    </row>
    <row r="3" spans="1:8" x14ac:dyDescent="0.3">
      <c r="A3" t="s">
        <v>126</v>
      </c>
      <c r="E3">
        <v>4</v>
      </c>
      <c r="F3">
        <v>93</v>
      </c>
      <c r="G3">
        <v>4.59</v>
      </c>
      <c r="H3" t="s">
        <v>162</v>
      </c>
    </row>
    <row r="4" spans="1:8" x14ac:dyDescent="0.3">
      <c r="A4" t="s">
        <v>125</v>
      </c>
      <c r="E4">
        <v>4</v>
      </c>
      <c r="F4">
        <v>94</v>
      </c>
      <c r="G4">
        <v>5.99</v>
      </c>
      <c r="H4" t="s">
        <v>165</v>
      </c>
    </row>
    <row r="5" spans="1:8" x14ac:dyDescent="0.3">
      <c r="A5" t="s">
        <v>157</v>
      </c>
      <c r="E5">
        <v>4</v>
      </c>
      <c r="F5">
        <v>95</v>
      </c>
      <c r="G5">
        <v>8.1</v>
      </c>
      <c r="H5" t="s">
        <v>158</v>
      </c>
    </row>
    <row r="6" spans="1:8" x14ac:dyDescent="0.3">
      <c r="A6" t="s">
        <v>128</v>
      </c>
      <c r="E6">
        <v>4</v>
      </c>
      <c r="F6">
        <v>96</v>
      </c>
      <c r="G6">
        <v>5.99</v>
      </c>
      <c r="H6" t="s">
        <v>164</v>
      </c>
    </row>
    <row r="7" spans="1:8" x14ac:dyDescent="0.3">
      <c r="C7" t="s">
        <v>115</v>
      </c>
      <c r="E7">
        <v>4</v>
      </c>
      <c r="F7">
        <v>70</v>
      </c>
      <c r="G7">
        <v>6.99</v>
      </c>
      <c r="H7" t="s">
        <v>163</v>
      </c>
    </row>
    <row r="8" spans="1:8" x14ac:dyDescent="0.3">
      <c r="C8" t="s">
        <v>121</v>
      </c>
      <c r="E8">
        <v>4</v>
      </c>
      <c r="F8">
        <v>74</v>
      </c>
      <c r="G8">
        <v>5.99</v>
      </c>
      <c r="H8" t="s">
        <v>161</v>
      </c>
    </row>
    <row r="9" spans="1:8" x14ac:dyDescent="0.3">
      <c r="C9" t="s">
        <v>124</v>
      </c>
      <c r="E9">
        <v>4</v>
      </c>
      <c r="F9">
        <v>77</v>
      </c>
      <c r="G9">
        <v>5.99</v>
      </c>
      <c r="H9" t="s">
        <v>159</v>
      </c>
    </row>
    <row r="10" spans="1:8" x14ac:dyDescent="0.3">
      <c r="C10" t="s">
        <v>123</v>
      </c>
      <c r="E10">
        <v>4</v>
      </c>
      <c r="F10">
        <v>79</v>
      </c>
      <c r="G10">
        <v>5.99</v>
      </c>
      <c r="H10" t="s">
        <v>160</v>
      </c>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E7" sqref="E7"/>
    </sheetView>
  </sheetViews>
  <sheetFormatPr defaultRowHeight="14.4" x14ac:dyDescent="0.3"/>
  <sheetData>
    <row r="1" spans="1:7" x14ac:dyDescent="0.3">
      <c r="A1" t="s">
        <v>109</v>
      </c>
      <c r="B1" t="s">
        <v>12</v>
      </c>
      <c r="D1" t="s">
        <v>112</v>
      </c>
      <c r="E1" t="s">
        <v>113</v>
      </c>
      <c r="F1" t="s">
        <v>111</v>
      </c>
      <c r="G1" t="s">
        <v>13</v>
      </c>
    </row>
    <row r="2" spans="1:7" x14ac:dyDescent="0.3">
      <c r="A2" t="s">
        <v>166</v>
      </c>
      <c r="D2">
        <v>5</v>
      </c>
      <c r="E2">
        <v>97</v>
      </c>
      <c r="F2">
        <v>9.9499999999999993</v>
      </c>
    </row>
    <row r="3" spans="1:7" x14ac:dyDescent="0.3">
      <c r="A3" t="s">
        <v>167</v>
      </c>
      <c r="D3">
        <v>5</v>
      </c>
      <c r="E3">
        <v>98</v>
      </c>
      <c r="F3">
        <v>9.9499999999999993</v>
      </c>
    </row>
    <row r="4" spans="1:7" x14ac:dyDescent="0.3">
      <c r="A4" t="s">
        <v>168</v>
      </c>
      <c r="D4">
        <v>5</v>
      </c>
      <c r="E4">
        <v>99</v>
      </c>
      <c r="F4">
        <v>9.9499999999999993</v>
      </c>
      <c r="G4" t="s">
        <v>170</v>
      </c>
    </row>
    <row r="5" spans="1:7" x14ac:dyDescent="0.3">
      <c r="A5" t="s">
        <v>169</v>
      </c>
      <c r="D5">
        <v>5</v>
      </c>
      <c r="E5">
        <v>100</v>
      </c>
      <c r="F5">
        <v>14.95</v>
      </c>
    </row>
    <row r="6" spans="1:7" x14ac:dyDescent="0.3">
      <c r="A6" t="s">
        <v>171</v>
      </c>
      <c r="D6">
        <v>5</v>
      </c>
      <c r="E6">
        <v>101</v>
      </c>
      <c r="F6">
        <v>14.95</v>
      </c>
    </row>
    <row r="7" spans="1:7" x14ac:dyDescent="0.3">
      <c r="A7" t="s">
        <v>172</v>
      </c>
      <c r="D7">
        <v>5</v>
      </c>
      <c r="E7">
        <v>102</v>
      </c>
      <c r="F7">
        <v>14.95</v>
      </c>
    </row>
    <row r="8" spans="1:7" x14ac:dyDescent="0.3">
      <c r="B8" t="s">
        <v>51</v>
      </c>
      <c r="D8">
        <v>5</v>
      </c>
      <c r="E8">
        <v>26</v>
      </c>
      <c r="F8">
        <v>10.95</v>
      </c>
    </row>
    <row r="9" spans="1:7" x14ac:dyDescent="0.3">
      <c r="B9" t="s">
        <v>50</v>
      </c>
      <c r="D9">
        <v>5</v>
      </c>
      <c r="E9">
        <v>25</v>
      </c>
      <c r="F9">
        <v>11.95</v>
      </c>
      <c r="G9" t="s">
        <v>174</v>
      </c>
    </row>
    <row r="10" spans="1:7" x14ac:dyDescent="0.3">
      <c r="B10" t="s">
        <v>173</v>
      </c>
      <c r="D10">
        <v>5</v>
      </c>
      <c r="E10">
        <v>18</v>
      </c>
      <c r="F10">
        <v>10.95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4"/>
  <sheetViews>
    <sheetView workbookViewId="0">
      <selection activeCell="E6" sqref="E6"/>
    </sheetView>
  </sheetViews>
  <sheetFormatPr defaultRowHeight="14.4" x14ac:dyDescent="0.3"/>
  <sheetData>
    <row r="1" spans="1:7" x14ac:dyDescent="0.3">
      <c r="A1" t="s">
        <v>12</v>
      </c>
      <c r="B1" t="s">
        <v>12</v>
      </c>
      <c r="D1" t="s">
        <v>112</v>
      </c>
      <c r="E1" t="s">
        <v>113</v>
      </c>
      <c r="F1" t="s">
        <v>111</v>
      </c>
      <c r="G1" t="s">
        <v>13</v>
      </c>
    </row>
    <row r="2" spans="1:7" x14ac:dyDescent="0.3">
      <c r="A2" t="s">
        <v>175</v>
      </c>
      <c r="D2">
        <v>6</v>
      </c>
      <c r="E2">
        <v>103</v>
      </c>
      <c r="F2">
        <v>11.95</v>
      </c>
    </row>
    <row r="3" spans="1:7" x14ac:dyDescent="0.3">
      <c r="A3" t="s">
        <v>176</v>
      </c>
      <c r="D3">
        <v>6</v>
      </c>
      <c r="E3">
        <v>104</v>
      </c>
      <c r="F3">
        <v>12.95</v>
      </c>
    </row>
    <row r="4" spans="1:7" x14ac:dyDescent="0.3">
      <c r="A4" t="s">
        <v>177</v>
      </c>
      <c r="D4">
        <v>6</v>
      </c>
      <c r="E4">
        <v>105</v>
      </c>
      <c r="F4">
        <v>11.95</v>
      </c>
    </row>
    <row r="5" spans="1:7" x14ac:dyDescent="0.3">
      <c r="A5" t="s">
        <v>178</v>
      </c>
      <c r="D5">
        <v>6</v>
      </c>
      <c r="E5">
        <v>106</v>
      </c>
      <c r="F5">
        <v>14.95</v>
      </c>
    </row>
    <row r="6" spans="1:7" x14ac:dyDescent="0.3">
      <c r="B6" t="s">
        <v>166</v>
      </c>
      <c r="D6">
        <v>6</v>
      </c>
      <c r="E6">
        <v>96</v>
      </c>
      <c r="F6">
        <v>8.9499999999999993</v>
      </c>
    </row>
    <row r="7" spans="1:7" x14ac:dyDescent="0.3">
      <c r="B7" t="s">
        <v>167</v>
      </c>
      <c r="D7">
        <v>6</v>
      </c>
      <c r="E7">
        <v>97</v>
      </c>
      <c r="F7">
        <v>8.9499999999999993</v>
      </c>
    </row>
    <row r="8" spans="1:7" x14ac:dyDescent="0.3">
      <c r="B8" t="s">
        <v>168</v>
      </c>
      <c r="D8">
        <v>6</v>
      </c>
      <c r="E8">
        <v>98</v>
      </c>
      <c r="F8">
        <v>8.9499999999999993</v>
      </c>
    </row>
    <row r="9" spans="1:7" x14ac:dyDescent="0.3">
      <c r="B9" t="s">
        <v>169</v>
      </c>
      <c r="D9">
        <v>6</v>
      </c>
      <c r="E9">
        <v>99</v>
      </c>
      <c r="F9">
        <v>13.95</v>
      </c>
    </row>
    <row r="10" spans="1:7" x14ac:dyDescent="0.3">
      <c r="B10" t="s">
        <v>153</v>
      </c>
      <c r="D10">
        <v>6</v>
      </c>
      <c r="E10">
        <v>90</v>
      </c>
      <c r="F10">
        <v>4.95</v>
      </c>
    </row>
    <row r="11" spans="1:7" x14ac:dyDescent="0.3">
      <c r="B11" t="s">
        <v>30</v>
      </c>
      <c r="D11">
        <v>6</v>
      </c>
      <c r="E11">
        <v>1</v>
      </c>
      <c r="F11">
        <v>4.95</v>
      </c>
      <c r="G11" t="s">
        <v>179</v>
      </c>
    </row>
    <row r="12" spans="1:7" x14ac:dyDescent="0.3">
      <c r="B12" t="s">
        <v>31</v>
      </c>
      <c r="D12">
        <v>6</v>
      </c>
      <c r="E12">
        <v>2</v>
      </c>
      <c r="F12">
        <v>4.95</v>
      </c>
      <c r="G12" t="s">
        <v>180</v>
      </c>
    </row>
    <row r="13" spans="1:7" x14ac:dyDescent="0.3">
      <c r="B13" t="s">
        <v>14</v>
      </c>
      <c r="D13">
        <v>6</v>
      </c>
      <c r="E13">
        <v>6</v>
      </c>
      <c r="F13">
        <v>5.95</v>
      </c>
    </row>
    <row r="14" spans="1:7" x14ac:dyDescent="0.3">
      <c r="B14" t="s">
        <v>72</v>
      </c>
      <c r="D14">
        <v>6</v>
      </c>
      <c r="E14">
        <v>47</v>
      </c>
      <c r="F14">
        <v>8.9499999999999993</v>
      </c>
      <c r="G14" t="s">
        <v>181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
  <sheetViews>
    <sheetView workbookViewId="0">
      <selection activeCell="G25" sqref="G25"/>
    </sheetView>
  </sheetViews>
  <sheetFormatPr defaultRowHeight="14.4" x14ac:dyDescent="0.3"/>
  <sheetData>
    <row r="1" spans="1:6" x14ac:dyDescent="0.3">
      <c r="A1" t="s">
        <v>12</v>
      </c>
      <c r="C1" t="s">
        <v>112</v>
      </c>
      <c r="D1" t="s">
        <v>113</v>
      </c>
      <c r="E1" t="s">
        <v>111</v>
      </c>
      <c r="F1" t="s">
        <v>13</v>
      </c>
    </row>
    <row r="2" spans="1:6" x14ac:dyDescent="0.3">
      <c r="A2" t="s">
        <v>187</v>
      </c>
      <c r="C2">
        <v>7</v>
      </c>
      <c r="D2">
        <v>107</v>
      </c>
      <c r="E2">
        <v>6</v>
      </c>
    </row>
    <row r="3" spans="1:6" x14ac:dyDescent="0.3">
      <c r="A3" t="s">
        <v>188</v>
      </c>
      <c r="C3">
        <v>7</v>
      </c>
      <c r="D3">
        <v>108</v>
      </c>
      <c r="E3">
        <v>7</v>
      </c>
    </row>
    <row r="4" spans="1:6" x14ac:dyDescent="0.3">
      <c r="A4" t="s">
        <v>189</v>
      </c>
      <c r="C4">
        <v>7</v>
      </c>
      <c r="D4">
        <v>109</v>
      </c>
      <c r="E4">
        <v>6</v>
      </c>
    </row>
    <row r="5" spans="1:6" x14ac:dyDescent="0.3">
      <c r="A5" t="s">
        <v>190</v>
      </c>
      <c r="C5">
        <v>7</v>
      </c>
      <c r="D5">
        <v>110</v>
      </c>
      <c r="E5">
        <v>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
  <sheetViews>
    <sheetView workbookViewId="0">
      <selection activeCell="G32" sqref="G32"/>
    </sheetView>
  </sheetViews>
  <sheetFormatPr defaultRowHeight="14.4" x14ac:dyDescent="0.3"/>
  <sheetData>
    <row r="1" spans="1:7" x14ac:dyDescent="0.3">
      <c r="A1" t="s">
        <v>12</v>
      </c>
      <c r="B1" t="s">
        <v>12</v>
      </c>
      <c r="D1" t="s">
        <v>112</v>
      </c>
      <c r="E1" t="s">
        <v>113</v>
      </c>
      <c r="F1" t="s">
        <v>111</v>
      </c>
      <c r="G1" t="s">
        <v>13</v>
      </c>
    </row>
    <row r="2" spans="1:7" x14ac:dyDescent="0.3">
      <c r="A2" t="s">
        <v>191</v>
      </c>
      <c r="D2">
        <v>8</v>
      </c>
      <c r="E2">
        <v>111</v>
      </c>
      <c r="F2">
        <v>7</v>
      </c>
    </row>
    <row r="3" spans="1:7" x14ac:dyDescent="0.3">
      <c r="B3" t="s">
        <v>187</v>
      </c>
      <c r="D3">
        <v>8</v>
      </c>
      <c r="E3">
        <v>107</v>
      </c>
      <c r="F3">
        <v>7</v>
      </c>
    </row>
    <row r="4" spans="1:7" x14ac:dyDescent="0.3">
      <c r="B4" t="s">
        <v>188</v>
      </c>
      <c r="D4">
        <v>8</v>
      </c>
      <c r="E4">
        <v>108</v>
      </c>
      <c r="F4">
        <v>8</v>
      </c>
    </row>
    <row r="5" spans="1:7" x14ac:dyDescent="0.3">
      <c r="B5" t="s">
        <v>190</v>
      </c>
      <c r="D5">
        <v>8</v>
      </c>
      <c r="E5">
        <v>110</v>
      </c>
      <c r="F5">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H8"/>
  <sheetViews>
    <sheetView workbookViewId="0">
      <selection activeCell="D11" sqref="D11"/>
    </sheetView>
  </sheetViews>
  <sheetFormatPr defaultRowHeight="14.4" x14ac:dyDescent="0.3"/>
  <sheetData>
    <row r="1" spans="2:8" x14ac:dyDescent="0.3">
      <c r="B1" t="s">
        <v>12</v>
      </c>
      <c r="E1" t="s">
        <v>112</v>
      </c>
      <c r="F1" t="s">
        <v>113</v>
      </c>
      <c r="G1" t="s">
        <v>13</v>
      </c>
    </row>
    <row r="2" spans="2:8" x14ac:dyDescent="0.3">
      <c r="B2" t="s">
        <v>143</v>
      </c>
      <c r="E2">
        <v>9</v>
      </c>
      <c r="F2">
        <v>85</v>
      </c>
      <c r="G2">
        <v>9.99</v>
      </c>
      <c r="H2" t="s">
        <v>150</v>
      </c>
    </row>
    <row r="3" spans="2:8" x14ac:dyDescent="0.3">
      <c r="B3" t="s">
        <v>144</v>
      </c>
      <c r="E3">
        <v>9</v>
      </c>
      <c r="F3">
        <v>86</v>
      </c>
      <c r="G3">
        <f>9.99+1.69</f>
        <v>11.68</v>
      </c>
      <c r="H3" t="s">
        <v>150</v>
      </c>
    </row>
    <row r="4" spans="2:8" x14ac:dyDescent="0.3">
      <c r="B4" t="s">
        <v>145</v>
      </c>
      <c r="E4">
        <v>9</v>
      </c>
      <c r="F4">
        <v>87</v>
      </c>
      <c r="G4">
        <v>12.99</v>
      </c>
      <c r="H4" t="s">
        <v>151</v>
      </c>
    </row>
    <row r="5" spans="2:8" x14ac:dyDescent="0.3">
      <c r="B5" t="s">
        <v>146</v>
      </c>
      <c r="E5">
        <v>9</v>
      </c>
      <c r="F5">
        <v>88</v>
      </c>
      <c r="G5">
        <f>12.99+2.29</f>
        <v>15.280000000000001</v>
      </c>
      <c r="H5" t="s">
        <v>151</v>
      </c>
    </row>
    <row r="6" spans="2:8" x14ac:dyDescent="0.3">
      <c r="B6" t="s">
        <v>147</v>
      </c>
      <c r="E6">
        <v>9</v>
      </c>
      <c r="F6">
        <v>89</v>
      </c>
      <c r="G6">
        <v>14.99</v>
      </c>
      <c r="H6" t="s">
        <v>192</v>
      </c>
    </row>
    <row r="7" spans="2:8" x14ac:dyDescent="0.3">
      <c r="B7" t="s">
        <v>148</v>
      </c>
      <c r="E7">
        <v>9</v>
      </c>
      <c r="F7">
        <v>90</v>
      </c>
      <c r="G7">
        <f>14.99+2.59</f>
        <v>17.579999999999998</v>
      </c>
      <c r="H7" t="s">
        <v>192</v>
      </c>
    </row>
    <row r="8" spans="2:8" x14ac:dyDescent="0.3">
      <c r="B8" t="s">
        <v>153</v>
      </c>
      <c r="E8">
        <v>9</v>
      </c>
      <c r="F8">
        <v>91</v>
      </c>
      <c r="G8">
        <v>5.99</v>
      </c>
      <c r="H8" t="s">
        <v>154</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1"/>
  <sheetViews>
    <sheetView topLeftCell="C1" workbookViewId="0">
      <selection activeCell="E11" sqref="E11"/>
    </sheetView>
  </sheetViews>
  <sheetFormatPr defaultRowHeight="14.4" x14ac:dyDescent="0.3"/>
  <sheetData>
    <row r="1" spans="1:8" x14ac:dyDescent="0.3">
      <c r="A1" t="s">
        <v>12</v>
      </c>
      <c r="C1" t="s">
        <v>12</v>
      </c>
      <c r="E1" t="s">
        <v>112</v>
      </c>
      <c r="F1" t="s">
        <v>113</v>
      </c>
      <c r="G1" t="s">
        <v>111</v>
      </c>
      <c r="H1" t="s">
        <v>13</v>
      </c>
    </row>
    <row r="2" spans="1:8" x14ac:dyDescent="0.3">
      <c r="A2" t="s">
        <v>130</v>
      </c>
      <c r="E2">
        <v>10</v>
      </c>
      <c r="F2">
        <v>112</v>
      </c>
      <c r="G2">
        <v>4.2</v>
      </c>
      <c r="H2" t="s">
        <v>197</v>
      </c>
    </row>
    <row r="3" spans="1:8" x14ac:dyDescent="0.3">
      <c r="A3" t="s">
        <v>127</v>
      </c>
      <c r="E3">
        <v>10</v>
      </c>
      <c r="F3">
        <v>113</v>
      </c>
      <c r="G3">
        <v>6</v>
      </c>
      <c r="H3" t="s">
        <v>196</v>
      </c>
    </row>
    <row r="4" spans="1:8" x14ac:dyDescent="0.3">
      <c r="C4" t="s">
        <v>125</v>
      </c>
      <c r="E4">
        <v>10</v>
      </c>
      <c r="F4">
        <v>94</v>
      </c>
      <c r="G4">
        <v>6.6</v>
      </c>
      <c r="H4" t="s">
        <v>193</v>
      </c>
    </row>
    <row r="5" spans="1:8" x14ac:dyDescent="0.3">
      <c r="C5" t="s">
        <v>126</v>
      </c>
      <c r="E5">
        <v>10</v>
      </c>
      <c r="F5">
        <v>93</v>
      </c>
      <c r="G5">
        <v>6</v>
      </c>
    </row>
    <row r="6" spans="1:8" x14ac:dyDescent="0.3">
      <c r="C6" t="s">
        <v>123</v>
      </c>
      <c r="E6">
        <v>10</v>
      </c>
      <c r="F6">
        <v>79</v>
      </c>
      <c r="G6">
        <v>6</v>
      </c>
      <c r="H6" t="s">
        <v>19</v>
      </c>
    </row>
    <row r="7" spans="1:8" x14ac:dyDescent="0.3">
      <c r="C7" t="s">
        <v>119</v>
      </c>
      <c r="E7">
        <v>10</v>
      </c>
      <c r="F7">
        <v>71</v>
      </c>
      <c r="G7">
        <v>6</v>
      </c>
      <c r="H7" t="s">
        <v>194</v>
      </c>
    </row>
    <row r="8" spans="1:8" x14ac:dyDescent="0.3">
      <c r="C8" t="s">
        <v>122</v>
      </c>
      <c r="E8">
        <v>10</v>
      </c>
      <c r="F8">
        <v>73</v>
      </c>
      <c r="G8">
        <v>6</v>
      </c>
      <c r="H8" t="s">
        <v>120</v>
      </c>
    </row>
    <row r="9" spans="1:8" x14ac:dyDescent="0.3">
      <c r="C9" t="s">
        <v>128</v>
      </c>
      <c r="E9">
        <v>10</v>
      </c>
      <c r="F9">
        <v>96</v>
      </c>
      <c r="G9">
        <v>6</v>
      </c>
      <c r="H9" t="s">
        <v>16</v>
      </c>
    </row>
    <row r="10" spans="1:8" x14ac:dyDescent="0.3">
      <c r="C10" t="s">
        <v>121</v>
      </c>
      <c r="E10">
        <v>10</v>
      </c>
      <c r="F10">
        <v>74</v>
      </c>
      <c r="G10">
        <v>6</v>
      </c>
      <c r="H10" t="s">
        <v>15</v>
      </c>
    </row>
    <row r="11" spans="1:8" x14ac:dyDescent="0.3">
      <c r="C11" t="s">
        <v>129</v>
      </c>
      <c r="E11">
        <v>10</v>
      </c>
      <c r="F11">
        <v>92</v>
      </c>
      <c r="G11">
        <v>6</v>
      </c>
      <c r="H11" t="s">
        <v>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
  <sheetViews>
    <sheetView workbookViewId="0">
      <selection activeCell="A5" sqref="A5"/>
    </sheetView>
  </sheetViews>
  <sheetFormatPr defaultRowHeight="14.4" x14ac:dyDescent="0.3"/>
  <sheetData>
    <row r="1" spans="1:7" x14ac:dyDescent="0.3">
      <c r="A1" t="s">
        <v>198</v>
      </c>
      <c r="B1" t="s">
        <v>199</v>
      </c>
      <c r="D1" t="s">
        <v>112</v>
      </c>
      <c r="E1" t="s">
        <v>113</v>
      </c>
      <c r="F1" t="s">
        <v>111</v>
      </c>
      <c r="G1" t="s">
        <v>13</v>
      </c>
    </row>
    <row r="2" spans="1:7" x14ac:dyDescent="0.3">
      <c r="A2" t="s">
        <v>200</v>
      </c>
      <c r="D2">
        <v>11</v>
      </c>
      <c r="E2">
        <v>114</v>
      </c>
      <c r="F2">
        <v>22</v>
      </c>
    </row>
    <row r="3" spans="1:7" x14ac:dyDescent="0.3">
      <c r="A3" t="s">
        <v>201</v>
      </c>
      <c r="D3">
        <v>11</v>
      </c>
      <c r="E3">
        <v>115</v>
      </c>
      <c r="F3">
        <v>34</v>
      </c>
    </row>
    <row r="4" spans="1:7" x14ac:dyDescent="0.3">
      <c r="A4" t="s">
        <v>204</v>
      </c>
      <c r="D4">
        <v>11</v>
      </c>
      <c r="E4">
        <v>116</v>
      </c>
      <c r="F4">
        <v>18</v>
      </c>
      <c r="G4" t="s">
        <v>205</v>
      </c>
    </row>
    <row r="5" spans="1:7" x14ac:dyDescent="0.3">
      <c r="A5" t="s">
        <v>210</v>
      </c>
      <c r="D5">
        <v>11</v>
      </c>
      <c r="E5">
        <v>117</v>
      </c>
      <c r="F5">
        <v>17</v>
      </c>
      <c r="G5" t="s">
        <v>207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2"/>
  <sheetViews>
    <sheetView workbookViewId="0">
      <selection activeCell="A2" sqref="A2:A3"/>
    </sheetView>
  </sheetViews>
  <sheetFormatPr defaultRowHeight="14.4" x14ac:dyDescent="0.3"/>
  <sheetData>
    <row r="1" spans="1:7" x14ac:dyDescent="0.3">
      <c r="A1" t="s">
        <v>198</v>
      </c>
      <c r="B1" t="s">
        <v>199</v>
      </c>
      <c r="D1" t="s">
        <v>112</v>
      </c>
      <c r="E1" t="s">
        <v>113</v>
      </c>
      <c r="F1" t="s">
        <v>111</v>
      </c>
      <c r="G1" t="s">
        <v>13</v>
      </c>
    </row>
    <row r="2" spans="1:7" x14ac:dyDescent="0.3">
      <c r="A2" t="s">
        <v>202</v>
      </c>
      <c r="D2">
        <v>12</v>
      </c>
      <c r="E2">
        <v>118</v>
      </c>
      <c r="F2">
        <v>15.75</v>
      </c>
    </row>
    <row r="3" spans="1:7" x14ac:dyDescent="0.3">
      <c r="A3" t="s">
        <v>203</v>
      </c>
      <c r="D3">
        <v>12</v>
      </c>
      <c r="E3">
        <v>119</v>
      </c>
      <c r="F3">
        <v>17.75</v>
      </c>
    </row>
    <row r="4" spans="1:7" x14ac:dyDescent="0.3">
      <c r="B4" t="s">
        <v>200</v>
      </c>
      <c r="D4">
        <v>12</v>
      </c>
      <c r="E4">
        <v>114</v>
      </c>
      <c r="F4">
        <v>12.75</v>
      </c>
      <c r="G4" t="s">
        <v>208</v>
      </c>
    </row>
    <row r="5" spans="1:7" x14ac:dyDescent="0.3">
      <c r="B5" t="s">
        <v>204</v>
      </c>
      <c r="D5">
        <v>12</v>
      </c>
      <c r="E5">
        <v>116</v>
      </c>
      <c r="F5">
        <v>9.9499999999999993</v>
      </c>
    </row>
    <row r="6" spans="1:7" x14ac:dyDescent="0.3">
      <c r="B6" t="s">
        <v>129</v>
      </c>
      <c r="D6">
        <v>12</v>
      </c>
      <c r="E6">
        <v>92</v>
      </c>
      <c r="F6">
        <v>3.75</v>
      </c>
    </row>
    <row r="7" spans="1:7" x14ac:dyDescent="0.3">
      <c r="B7" t="s">
        <v>141</v>
      </c>
      <c r="D7">
        <v>12</v>
      </c>
      <c r="E7">
        <v>83</v>
      </c>
      <c r="F7">
        <v>7</v>
      </c>
    </row>
    <row r="8" spans="1:7" x14ac:dyDescent="0.3">
      <c r="B8" t="s">
        <v>142</v>
      </c>
      <c r="D8">
        <v>12</v>
      </c>
      <c r="E8">
        <v>84</v>
      </c>
      <c r="F8">
        <v>8.75</v>
      </c>
    </row>
    <row r="9" spans="1:7" x14ac:dyDescent="0.3">
      <c r="B9" t="s">
        <v>143</v>
      </c>
      <c r="D9">
        <v>12</v>
      </c>
      <c r="E9">
        <v>85</v>
      </c>
      <c r="F9">
        <v>8</v>
      </c>
    </row>
    <row r="10" spans="1:7" x14ac:dyDescent="0.3">
      <c r="B10" t="s">
        <v>144</v>
      </c>
      <c r="D10">
        <v>12</v>
      </c>
      <c r="E10">
        <v>86</v>
      </c>
      <c r="F10">
        <v>10</v>
      </c>
    </row>
    <row r="11" spans="1:7" x14ac:dyDescent="0.3">
      <c r="B11" t="s">
        <v>145</v>
      </c>
      <c r="D11">
        <v>12</v>
      </c>
      <c r="E11">
        <v>87</v>
      </c>
      <c r="F11">
        <v>9</v>
      </c>
    </row>
    <row r="12" spans="1:7" x14ac:dyDescent="0.3">
      <c r="B12" t="s">
        <v>146</v>
      </c>
      <c r="D12">
        <v>12</v>
      </c>
      <c r="E12">
        <v>88</v>
      </c>
      <c r="F12">
        <v>11.25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9"/>
  <sheetViews>
    <sheetView workbookViewId="0">
      <selection activeCell="A2" sqref="A2:A6"/>
    </sheetView>
  </sheetViews>
  <sheetFormatPr defaultRowHeight="14.4" x14ac:dyDescent="0.3"/>
  <sheetData>
    <row r="1" spans="1:7" x14ac:dyDescent="0.3">
      <c r="A1" t="s">
        <v>198</v>
      </c>
      <c r="B1" t="s">
        <v>199</v>
      </c>
      <c r="D1" t="s">
        <v>112</v>
      </c>
      <c r="E1" t="s">
        <v>113</v>
      </c>
      <c r="F1" t="s">
        <v>111</v>
      </c>
      <c r="G1" t="s">
        <v>13</v>
      </c>
    </row>
    <row r="2" spans="1:7" x14ac:dyDescent="0.3">
      <c r="A2" t="s">
        <v>212</v>
      </c>
      <c r="D2">
        <v>13</v>
      </c>
      <c r="E2">
        <v>120</v>
      </c>
      <c r="F2">
        <v>13.5</v>
      </c>
    </row>
    <row r="3" spans="1:7" x14ac:dyDescent="0.3">
      <c r="A3" t="s">
        <v>213</v>
      </c>
      <c r="D3">
        <v>13</v>
      </c>
      <c r="E3">
        <v>121</v>
      </c>
      <c r="F3">
        <v>13.95</v>
      </c>
    </row>
    <row r="4" spans="1:7" x14ac:dyDescent="0.3">
      <c r="A4" t="s">
        <v>214</v>
      </c>
      <c r="D4">
        <v>13</v>
      </c>
      <c r="E4">
        <v>122</v>
      </c>
      <c r="F4">
        <v>14.95</v>
      </c>
    </row>
    <row r="5" spans="1:7" x14ac:dyDescent="0.3">
      <c r="A5" t="s">
        <v>215</v>
      </c>
      <c r="D5">
        <v>13</v>
      </c>
      <c r="E5">
        <v>123</v>
      </c>
      <c r="F5">
        <v>16.95</v>
      </c>
    </row>
    <row r="6" spans="1:7" x14ac:dyDescent="0.3">
      <c r="A6" t="s">
        <v>216</v>
      </c>
      <c r="D6">
        <v>13</v>
      </c>
      <c r="E6">
        <v>124</v>
      </c>
      <c r="F6">
        <v>16.95</v>
      </c>
    </row>
    <row r="7" spans="1:7" x14ac:dyDescent="0.3">
      <c r="B7" t="s">
        <v>200</v>
      </c>
      <c r="D7">
        <v>13</v>
      </c>
      <c r="E7">
        <v>114</v>
      </c>
      <c r="F7">
        <v>14.95</v>
      </c>
      <c r="G7" t="s">
        <v>208</v>
      </c>
    </row>
    <row r="8" spans="1:7" x14ac:dyDescent="0.3">
      <c r="B8" t="s">
        <v>204</v>
      </c>
      <c r="D8">
        <v>13</v>
      </c>
      <c r="E8">
        <v>116</v>
      </c>
      <c r="F8">
        <v>12.5</v>
      </c>
      <c r="G8" t="s">
        <v>211</v>
      </c>
    </row>
    <row r="9" spans="1:7" x14ac:dyDescent="0.3">
      <c r="B9" t="s">
        <v>210</v>
      </c>
      <c r="D9">
        <v>13</v>
      </c>
      <c r="E9">
        <v>117</v>
      </c>
      <c r="F9">
        <v>13.95</v>
      </c>
      <c r="G9" t="s">
        <v>209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Restaurant</vt:lpstr>
      <vt:lpstr>Dishes individually</vt:lpstr>
      <vt:lpstr>origin</vt:lpstr>
      <vt:lpstr>types</vt:lpstr>
      <vt:lpstr>region</vt:lpstr>
      <vt:lpstr>Hunan Coventry</vt:lpstr>
      <vt:lpstr>Jimmy John's</vt:lpstr>
      <vt:lpstr>Guys Pizza Co.</vt:lpstr>
      <vt:lpstr>Dave's</vt:lpstr>
      <vt:lpstr>High Tai'd</vt:lpstr>
      <vt:lpstr>Tree Country </vt:lpstr>
      <vt:lpstr>Chipotle</vt:lpstr>
      <vt:lpstr>Qdoba</vt:lpstr>
      <vt:lpstr>Rascal House</vt:lpstr>
      <vt:lpstr>Potbellies</vt:lpstr>
      <vt:lpstr>La Dolce Vita</vt:lpstr>
      <vt:lpstr>Mama Santas</vt:lpstr>
      <vt:lpstr>Trattoria Roman</vt:lpstr>
    </vt:vector>
  </TitlesOfParts>
  <Company>CWRU</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Fische</dc:creator>
  <cp:lastModifiedBy>Jonathan Fische</cp:lastModifiedBy>
  <dcterms:created xsi:type="dcterms:W3CDTF">2015-04-24T19:15:48Z</dcterms:created>
  <dcterms:modified xsi:type="dcterms:W3CDTF">2015-04-27T00:51:44Z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7ef1cf73-861b-4747-947e-2ebc61cef589</vt:lpwstr>
  </property>
</Properties>
</file>